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tes" sheetId="2" state="visible" r:id="rId4"/>
    <sheet name="Hou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<sst xmlns="http://schemas.openxmlformats.org/spreadsheetml/2006/main" count="197" uniqueCount="159">
  <si>
    <t xml:space="preserve">DBM Portal — Build Cost (One-time)</t>
  </si>
  <si>
    <t xml:space="preserve">Engineering effort × blended rate, plus design / QA / PM / contingency, plus non-labor hard costs.</t>
  </si>
  <si>
    <t xml:space="preserve">Phase 1 is already shipped (greyed Done on Hours sheet). 'Remaining build' is what's left to ship Phases 2-7.</t>
  </si>
  <si>
    <t xml:space="preserve">Scenario</t>
  </si>
  <si>
    <t xml:space="preserve">$/hr</t>
  </si>
  <si>
    <t xml:space="preserve">Eng cost</t>
  </si>
  <si>
    <t xml:space="preserve">+Design/QA/PM</t>
  </si>
  <si>
    <t xml:space="preserve">+Contingency</t>
  </si>
  <si>
    <t xml:space="preserve">Total build</t>
  </si>
  <si>
    <t xml:space="preserve">Solo / founder-built (you + AI)</t>
  </si>
  <si>
    <t xml:space="preserve">Offshore agency</t>
  </si>
  <si>
    <t xml:space="preserve">US contractor / boutique</t>
  </si>
  <si>
    <t xml:space="preserve">US FTE blended</t>
  </si>
  <si>
    <t xml:space="preserve">Build cost by phase (at solo/founder rate)</t>
  </si>
  <si>
    <t xml:space="preserve">Phase</t>
  </si>
  <si>
    <t xml:space="preserve">Hours</t>
  </si>
  <si>
    <t xml:space="preserve">+D/Q/PM</t>
  </si>
  <si>
    <t xml:space="preserve">Status</t>
  </si>
  <si>
    <t xml:space="preserve">P1 — Find (search, directory)</t>
  </si>
  <si>
    <t xml:space="preserve">Done</t>
  </si>
  <si>
    <t xml:space="preserve">P2 — Get bids</t>
  </si>
  <si>
    <t xml:space="preserve">Remaining</t>
  </si>
  <si>
    <t xml:space="preserve">P3 — Compare bids</t>
  </si>
  <si>
    <t xml:space="preserve">P4 — Sign contract</t>
  </si>
  <si>
    <t xml:space="preserve">P5 — Execute contract</t>
  </si>
  <si>
    <t xml:space="preserve">P6 — Close contract</t>
  </si>
  <si>
    <t xml:space="preserve">P7 — Reviews</t>
  </si>
  <si>
    <t xml:space="preserve">TOTAL (all phases)</t>
  </si>
  <si>
    <t xml:space="preserve">REMAINING (P2–P7 only)</t>
  </si>
  <si>
    <t xml:space="preserve">Calendar time (solo, ~30 hrs/week productive)</t>
  </si>
  <si>
    <t xml:space="preserve">Remaining hours / 30 hrs per week</t>
  </si>
  <si>
    <t xml:space="preserve">weeks</t>
  </si>
  <si>
    <t xml:space="preserve">months</t>
  </si>
  <si>
    <t xml:space="preserve">What's included / excluded</t>
  </si>
  <si>
    <t xml:space="preserve">Included</t>
  </si>
  <si>
    <t xml:space="preserve">Backend (NestJS+Prisma+Postgres), Frontend (Next.js), Mobile (Expo), 3rd-party integrations (Firebase, Claude, R2, DocuSign, Stripe Connect, Pusher, SendGrid), DevOps on Render, app-store submissions, light security review, ToS/Privacy legal.</t>
  </si>
  <si>
    <t xml:space="preserve">Excluded</t>
  </si>
  <si>
    <t xml:space="preserve">Ongoing hosting/opex (in separate cost model), AI usage cost (in opex), marketing/CAC, customer support, dedicated SRE, SOC 2 audit, advanced security pen test, multi-region HA, future city permit/building-rules API integration.</t>
  </si>
  <si>
    <t xml:space="preserve">Future scope</t>
  </si>
  <si>
    <t xml:space="preserve">Per-city integration with municipal APIs for permit/license lookup and building-code rules. Each city ≈ 60–120 hrs + possible API/data fees. Track separately when committed.</t>
  </si>
  <si>
    <t xml:space="preserve">Blended Engineering Rates ($/hour)</t>
  </si>
  <si>
    <t xml:space="preserve">Edit these to flex the whole model. Three scenarios drive the Summary.</t>
  </si>
  <si>
    <t xml:space="preserve">Blended $/hr</t>
  </si>
  <si>
    <t xml:space="preserve">Notes</t>
  </si>
  <si>
    <t xml:space="preserve">Solo / founder-built</t>
  </si>
  <si>
    <t xml:space="preserve">You + AI agents (this build). Out-of-pocket = cloud + tools only; time is opportunity cost.</t>
  </si>
  <si>
    <t xml:space="preserve">India / LATAM senior+mid mix. Full QA + PM included.</t>
  </si>
  <si>
    <t xml:space="preserve">US-based senior contractor blended with mid. No benefits.</t>
  </si>
  <si>
    <t xml:space="preserve">Loaded cost (salary + benefits + tax + tools) ÷ ~1,800 productive hours.</t>
  </si>
  <si>
    <t xml:space="preserve">Multipliers</t>
  </si>
  <si>
    <t xml:space="preserve">Item</t>
  </si>
  <si>
    <t xml:space="preserve">Value</t>
  </si>
  <si>
    <t xml:space="preserve">Design % of build</t>
  </si>
  <si>
    <t xml:space="preserve">UI/UX work as % of engineering hours. Set 0 if design is bundled.</t>
  </si>
  <si>
    <t xml:space="preserve">QA % of build</t>
  </si>
  <si>
    <t xml:space="preserve">Manual + automated QA hours as % of engineering.</t>
  </si>
  <si>
    <t xml:space="preserve">PM / coordination %</t>
  </si>
  <si>
    <t xml:space="preserve">PM, standups, vendor coord, docs.</t>
  </si>
  <si>
    <t xml:space="preserve">Contingency %</t>
  </si>
  <si>
    <t xml:space="preserve">Risk buffer for scope creep, integrations, retries.</t>
  </si>
  <si>
    <t xml:space="preserve">One-time hard costs (non-labor)</t>
  </si>
  <si>
    <t xml:space="preserve">$</t>
  </si>
  <si>
    <t xml:space="preserve">Apple Developer Program</t>
  </si>
  <si>
    <t xml:space="preserve">Required to ship iOS / Sign in with Apple. Annual.</t>
  </si>
  <si>
    <t xml:space="preserve">Google Play Developer</t>
  </si>
  <si>
    <t xml:space="preserve">One-time.</t>
  </si>
  <si>
    <t xml:space="preserve">Domain + email (yr 1)</t>
  </si>
  <si>
    <t xml:space="preserve">Domain, Google Workspace seat, transactional sender.</t>
  </si>
  <si>
    <t xml:space="preserve">Design tools (Figma yr 1)</t>
  </si>
  <si>
    <t xml:space="preserve">$15/mo × 12. Skip if solo.</t>
  </si>
  <si>
    <t xml:space="preserve">Logo / brand identity</t>
  </si>
  <si>
    <t xml:space="preserve">One-shot Fiverr/Upwork. Skip if DIY.</t>
  </si>
  <si>
    <t xml:space="preserve">Legal — ToS / Privacy / DPA</t>
  </si>
  <si>
    <t xml:space="preserve">Template + lawyer review. Required before public launch.</t>
  </si>
  <si>
    <t xml:space="preserve">Security review / pen test (light)</t>
  </si>
  <si>
    <t xml:space="preserve">Pre-launch external review. Recommended pre-Phase 5.</t>
  </si>
  <si>
    <t xml:space="preserve">DocuSign sandbox + setup</t>
  </si>
  <si>
    <t xml:space="preserve">Free for dev. Production billed per envelope (opex).</t>
  </si>
  <si>
    <t xml:space="preserve">Stripe Connect onboarding</t>
  </si>
  <si>
    <t xml:space="preserve">Free; fees are passthrough (opex).</t>
  </si>
  <si>
    <t xml:space="preserve">App store assets / screenshots</t>
  </si>
  <si>
    <t xml:space="preserve">Per platform. Designer or DIY.</t>
  </si>
  <si>
    <t xml:space="preserve">Subtotal — One-time hard costs</t>
  </si>
  <si>
    <t xml:space="preserve">Engineering Hours by Phase</t>
  </si>
  <si>
    <t xml:space="preserve">Effort estimate for a senior generalist building with AI assistance. Phase 1 is already shipped (marked Done).</t>
  </si>
  <si>
    <t xml:space="preserve">Module</t>
  </si>
  <si>
    <t xml:space="preserve">Backend hrs</t>
  </si>
  <si>
    <t xml:space="preserve">Frontend hrs</t>
  </si>
  <si>
    <t xml:space="preserve">Mobile hrs</t>
  </si>
  <si>
    <t xml:space="preserve">Scope / Notes</t>
  </si>
  <si>
    <t xml:space="preserve">P1</t>
  </si>
  <si>
    <t xml:space="preserve">Auth &amp; accounts (Firebase, email/Google)</t>
  </si>
  <si>
    <t xml:space="preserve">Sign-up, sign-in, password reset, sessions, role gating. ✅ Shipped.</t>
  </si>
  <si>
    <t xml:space="preserve">Pro directory &amp; search</t>
  </si>
  <si>
    <t xml:space="preserve">Profile model, search indexing, filters by trade/zip. ✅ Shipped.</t>
  </si>
  <si>
    <t xml:space="preserve">Pro profile + portfolio uploads</t>
  </si>
  <si>
    <t xml:space="preserve">Photos, services, license fields, R2 storage. ✅ Shipped.</t>
  </si>
  <si>
    <t xml:space="preserve">Admin moderation basics</t>
  </si>
  <si>
    <t xml:space="preserve">Flag, approve, suspend. ✅ Shipped.</t>
  </si>
  <si>
    <t xml:space="preserve">Mobile shell (Expo) + deep links</t>
  </si>
  <si>
    <t xml:space="preserve">Tab nav, auth, profile screens. ✅ Shipped.</t>
  </si>
  <si>
    <t xml:space="preserve">P2</t>
  </si>
  <si>
    <t xml:space="preserve">Bid request flow (homeowner)</t>
  </si>
  <si>
    <t xml:space="preserve">Project scope form, photo/PDF upload, location.</t>
  </si>
  <si>
    <t xml:space="preserve">Bid form for pros (respond)</t>
  </si>
  <si>
    <t xml:space="preserve">Line items, attachments, validity window.</t>
  </si>
  <si>
    <t xml:space="preserve">AI scope scan (Claude + vision)</t>
  </si>
  <si>
    <t xml:space="preserve">Parse uploaded plans, extract scope, generate checklist. Anthropic Claude.</t>
  </si>
  <si>
    <t xml:space="preserve">Lead matching + delivery</t>
  </si>
  <si>
    <t xml:space="preserve">Match homeowner request to qualified pros; throttle, $25/lead billing hook.</t>
  </si>
  <si>
    <t xml:space="preserve">Notifications (email + push)</t>
  </si>
  <si>
    <t xml:space="preserve">SendGrid email + Expo push tokens.</t>
  </si>
  <si>
    <t xml:space="preserve">P3</t>
  </si>
  <si>
    <t xml:space="preserve">Bid comparison UI</t>
  </si>
  <si>
    <t xml:space="preserve">Side-by-side line-item compare, totals, conditions.</t>
  </si>
  <si>
    <t xml:space="preserve">Negotiation / counter-offer thread</t>
  </si>
  <si>
    <t xml:space="preserve">Threaded messages, attachments, status.</t>
  </si>
  <si>
    <t xml:space="preserve">Subscription billing (Stripe)</t>
  </si>
  <si>
    <t xml:space="preserve">$100/mo pro subscription, plans, dunning, webhooks.</t>
  </si>
  <si>
    <t xml:space="preserve">Award / select winning bid</t>
  </si>
  <si>
    <t xml:space="preserve">State machine: awarded → contract draft.</t>
  </si>
  <si>
    <t xml:space="preserve">P4</t>
  </si>
  <si>
    <t xml:space="preserve">Contract draft generator</t>
  </si>
  <si>
    <t xml:space="preserve">Templates, variables, PDF render, e-sign-ready.</t>
  </si>
  <si>
    <t xml:space="preserve">DocuSign integration</t>
  </si>
  <si>
    <t xml:space="preserve">Envelopes, signers, webhook on completion, audit trail.</t>
  </si>
  <si>
    <t xml:space="preserve">Take-rate billing on signed contracts</t>
  </si>
  <si>
    <t xml:space="preserve">4% platform fee captured via Stripe Connect at signature.</t>
  </si>
  <si>
    <t xml:space="preserve">P5</t>
  </si>
  <si>
    <t xml:space="preserve">Schedule / milestones</t>
  </si>
  <si>
    <t xml:space="preserve">Gantt-lite, dependencies, baseline vs actual.</t>
  </si>
  <si>
    <t xml:space="preserve">Budget tracking &amp; change orders</t>
  </si>
  <si>
    <t xml:space="preserve">Approved budget, change orders, approval flow.</t>
  </si>
  <si>
    <t xml:space="preserve">RFI / clarification thread</t>
  </si>
  <si>
    <t xml:space="preserve">In-project Q&amp;A pinned to scope items.</t>
  </si>
  <si>
    <t xml:space="preserve">Progress photos &amp; daily logs</t>
  </si>
  <si>
    <t xml:space="preserve">Camera capture, geo-tag, daily reports.</t>
  </si>
  <si>
    <t xml:space="preserve">Milestone payments (Stripe Connect)</t>
  </si>
  <si>
    <t xml:space="preserve">Escrow-style hold, release on milestone, dispute hooks.</t>
  </si>
  <si>
    <t xml:space="preserve">Real-time chat &amp; updates (Pusher)</t>
  </si>
  <si>
    <t xml:space="preserve">Websockets, presence, push fan-out.</t>
  </si>
  <si>
    <t xml:space="preserve">Redis + jobs + rate limits</t>
  </si>
  <si>
    <t xml:space="preserve">BullMQ workers, scan queue, lead throttle.</t>
  </si>
  <si>
    <t xml:space="preserve">P6</t>
  </si>
  <si>
    <t xml:space="preserve">Punchlist &amp; sign-off</t>
  </si>
  <si>
    <t xml:space="preserve">Item list, photos, accept/reject, finalize.</t>
  </si>
  <si>
    <t xml:space="preserve">Lien release &amp; final payment</t>
  </si>
  <si>
    <t xml:space="preserve">Lien waiver flow, final invoice, payout.</t>
  </si>
  <si>
    <t xml:space="preserve">Project archive / closeout package</t>
  </si>
  <si>
    <t xml:space="preserve">PDF bundle: contract, change orders, photos, payments.</t>
  </si>
  <si>
    <t xml:space="preserve">P7</t>
  </si>
  <si>
    <t xml:space="preserve">Reviews &amp; testimonials</t>
  </si>
  <si>
    <t xml:space="preserve">Two-way reviews, moderation, public profile display.</t>
  </si>
  <si>
    <t xml:space="preserve">Lessons-learned + ratings analytics</t>
  </si>
  <si>
    <t xml:space="preserve">Pro reliability score, surface in search ranking.</t>
  </si>
  <si>
    <t xml:space="preserve">Trust &amp; safety (search + moderation)</t>
  </si>
  <si>
    <t xml:space="preserve">Search ranking guardrails, abuse reporting.</t>
  </si>
  <si>
    <t xml:space="preserve">TOTAL Engineering Hours</t>
  </si>
  <si>
    <t xml:space="preserve">GRAND TOTAL Engineering Hours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</si>
</sst>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#,##0.0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D96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D966"/>
        <bgColor rgb="FFFFE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7" min="4" style="0" width="1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customFormat="false" ht="15" hidden="false" customHeight="false" outlineLevel="0" collapsed="false">
      <c r="B7" s="4" t="s">
        <v>9</v>
      </c>
      <c r="C7" s="5" t="n">
        <f aca="false">Rates!C6</f>
        <v>50</v>
      </c>
      <c r="D7" s="5" t="n">
        <f aca="false">Hours!D37*Rates!C6</f>
        <v>82400</v>
      </c>
      <c r="E7" s="5" t="n">
        <f aca="false">D7*(1+Rates!C14+Rates!C15+Rates!C16)</f>
        <v>119480</v>
      </c>
      <c r="F7" s="5" t="n">
        <f aca="false">E7*(1+Rates!C17)</f>
        <v>137402</v>
      </c>
      <c r="G7" s="6" t="n">
        <f aca="false">F7+Rates!C32</f>
        <v>143106</v>
      </c>
    </row>
    <row r="8" customFormat="false" ht="15" hidden="false" customHeight="false" outlineLevel="0" collapsed="false">
      <c r="B8" s="4" t="s">
        <v>10</v>
      </c>
      <c r="C8" s="5" t="n">
        <f aca="false">Rates!C7</f>
        <v>40</v>
      </c>
      <c r="D8" s="5" t="n">
        <f aca="false">Hours!D37*Rates!C7</f>
        <v>65920</v>
      </c>
      <c r="E8" s="5" t="n">
        <f aca="false">D8*(1+Rates!C14+Rates!C15+Rates!C16)</f>
        <v>95584</v>
      </c>
      <c r="F8" s="5" t="n">
        <f aca="false">E8*(1+Rates!C17)</f>
        <v>109921.6</v>
      </c>
      <c r="G8" s="6" t="n">
        <f aca="false">F8+Rates!C32</f>
        <v>115625.6</v>
      </c>
    </row>
    <row r="9" customFormat="false" ht="15" hidden="false" customHeight="false" outlineLevel="0" collapsed="false">
      <c r="B9" s="4" t="s">
        <v>11</v>
      </c>
      <c r="C9" s="5" t="n">
        <f aca="false">Rates!C8</f>
        <v>110</v>
      </c>
      <c r="D9" s="5" t="n">
        <f aca="false">Hours!D37*Rates!C8</f>
        <v>181280</v>
      </c>
      <c r="E9" s="5" t="n">
        <f aca="false">D9*(1+Rates!C14+Rates!C15+Rates!C16)</f>
        <v>262856</v>
      </c>
      <c r="F9" s="5" t="n">
        <f aca="false">E9*(1+Rates!C17)</f>
        <v>302284.4</v>
      </c>
      <c r="G9" s="6" t="n">
        <f aca="false">F9+Rates!C32</f>
        <v>307988.4</v>
      </c>
    </row>
    <row r="10" customFormat="false" ht="15" hidden="false" customHeight="false" outlineLevel="0" collapsed="false">
      <c r="B10" s="4" t="s">
        <v>12</v>
      </c>
      <c r="C10" s="5" t="n">
        <f aca="false">Rates!C9</f>
        <v>140</v>
      </c>
      <c r="D10" s="5" t="n">
        <f aca="false">Hours!D37*Rates!C9</f>
        <v>230720</v>
      </c>
      <c r="E10" s="5" t="n">
        <f aca="false">D10*(1+Rates!C14+Rates!C15+Rates!C16)</f>
        <v>334544</v>
      </c>
      <c r="F10" s="5" t="n">
        <f aca="false">E10*(1+Rates!C17)</f>
        <v>384725.6</v>
      </c>
      <c r="G10" s="6" t="n">
        <f aca="false">F10+Rates!C32</f>
        <v>390429.6</v>
      </c>
    </row>
    <row r="13" customFormat="false" ht="15" hidden="false" customHeight="false" outlineLevel="0" collapsed="false">
      <c r="B13" s="7" t="s">
        <v>13</v>
      </c>
      <c r="C13" s="8"/>
      <c r="D13" s="8"/>
      <c r="E13" s="8"/>
      <c r="F13" s="8"/>
      <c r="G13" s="8"/>
    </row>
    <row r="14" customFormat="false" ht="15" hidden="false" customHeight="false" outlineLevel="0" collapsed="false">
      <c r="B14" s="3" t="s">
        <v>14</v>
      </c>
      <c r="C14" s="3" t="s">
        <v>15</v>
      </c>
      <c r="D14" s="3" t="s">
        <v>5</v>
      </c>
      <c r="E14" s="3" t="s">
        <v>16</v>
      </c>
      <c r="F14" s="3" t="s">
        <v>7</v>
      </c>
      <c r="G14" s="3" t="s">
        <v>17</v>
      </c>
    </row>
    <row r="15" customFormat="false" ht="15" hidden="false" customHeight="false" outlineLevel="0" collapsed="false">
      <c r="B15" s="9" t="s">
        <v>18</v>
      </c>
      <c r="C15" s="10" t="n">
        <f aca="false">SUMIFS(Hours!D6:D35,Hours!B6:B35,"P1")+SUMIFS(Hours!E6:E35,Hours!B6:B35,"P1")+SUMIFS(Hours!F6:F35,Hours!B6:B35,"P1")</f>
        <v>272</v>
      </c>
      <c r="D15" s="11" t="n">
        <f aca="false">C15*Rates!C6</f>
        <v>13600</v>
      </c>
      <c r="E15" s="11" t="n">
        <f aca="false">D15*(1+Rates!C14+Rates!C15+Rates!C16)</f>
        <v>19720</v>
      </c>
      <c r="F15" s="11" t="n">
        <f aca="false">E15*(1+Rates!C17)</f>
        <v>22678</v>
      </c>
      <c r="G15" s="12" t="s">
        <v>19</v>
      </c>
    </row>
    <row r="16" customFormat="false" ht="15" hidden="false" customHeight="false" outlineLevel="0" collapsed="false">
      <c r="B16" s="4" t="s">
        <v>20</v>
      </c>
      <c r="C16" s="13" t="n">
        <f aca="false">SUMIFS(Hours!D6:D35,Hours!B6:B35,"P2")+SUMIFS(Hours!E6:E35,Hours!B6:B35,"P2")+SUMIFS(Hours!F6:F35,Hours!B6:B35,"P2")</f>
        <v>284</v>
      </c>
      <c r="D16" s="5" t="n">
        <f aca="false">C16*Rates!C6</f>
        <v>14200</v>
      </c>
      <c r="E16" s="5" t="n">
        <f aca="false">D16*(1+Rates!C14+Rates!C15+Rates!C16)</f>
        <v>20590</v>
      </c>
      <c r="F16" s="5" t="n">
        <f aca="false">E16*(1+Rates!C17)</f>
        <v>23678.5</v>
      </c>
      <c r="G16" s="14" t="s">
        <v>21</v>
      </c>
    </row>
    <row r="17" customFormat="false" ht="15" hidden="false" customHeight="false" outlineLevel="0" collapsed="false">
      <c r="B17" s="4" t="s">
        <v>22</v>
      </c>
      <c r="C17" s="13" t="n">
        <f aca="false">SUMIFS(Hours!D6:D35,Hours!B6:B35,"P3")+SUMIFS(Hours!E6:E35,Hours!B6:B35,"P3")+SUMIFS(Hours!F6:F35,Hours!B6:B35,"P3")</f>
        <v>228</v>
      </c>
      <c r="D17" s="5" t="n">
        <f aca="false">C17*Rates!C6</f>
        <v>11400</v>
      </c>
      <c r="E17" s="5" t="n">
        <f aca="false">D17*(1+Rates!C14+Rates!C15+Rates!C16)</f>
        <v>16530</v>
      </c>
      <c r="F17" s="5" t="n">
        <f aca="false">E17*(1+Rates!C17)</f>
        <v>19009.5</v>
      </c>
      <c r="G17" s="14" t="s">
        <v>21</v>
      </c>
    </row>
    <row r="18" customFormat="false" ht="15" hidden="false" customHeight="false" outlineLevel="0" collapsed="false">
      <c r="B18" s="4" t="s">
        <v>23</v>
      </c>
      <c r="C18" s="13" t="n">
        <f aca="false">SUMIFS(Hours!D6:D35,Hours!B6:B35,"P4")+SUMIFS(Hours!E6:E35,Hours!B6:B35,"P4")+SUMIFS(Hours!F6:F35,Hours!B6:B35,"P4")</f>
        <v>152</v>
      </c>
      <c r="D18" s="5" t="n">
        <f aca="false">C18*Rates!C6</f>
        <v>7600</v>
      </c>
      <c r="E18" s="5" t="n">
        <f aca="false">D18*(1+Rates!C14+Rates!C15+Rates!C16)</f>
        <v>11020</v>
      </c>
      <c r="F18" s="5" t="n">
        <f aca="false">E18*(1+Rates!C17)</f>
        <v>12673</v>
      </c>
      <c r="G18" s="14" t="s">
        <v>21</v>
      </c>
    </row>
    <row r="19" customFormat="false" ht="15" hidden="false" customHeight="false" outlineLevel="0" collapsed="false">
      <c r="B19" s="4" t="s">
        <v>24</v>
      </c>
      <c r="C19" s="13" t="n">
        <f aca="false">SUMIFS(Hours!D6:D35,Hours!B6:B35,"P5")+SUMIFS(Hours!E6:E35,Hours!B6:B35,"P5")+SUMIFS(Hours!F6:F35,Hours!B6:B35,"P5")</f>
        <v>448</v>
      </c>
      <c r="D19" s="5" t="n">
        <f aca="false">C19*Rates!C6</f>
        <v>22400</v>
      </c>
      <c r="E19" s="5" t="n">
        <f aca="false">D19*(1+Rates!C14+Rates!C15+Rates!C16)</f>
        <v>32480</v>
      </c>
      <c r="F19" s="5" t="n">
        <f aca="false">E19*(1+Rates!C17)</f>
        <v>37352</v>
      </c>
      <c r="G19" s="14" t="s">
        <v>21</v>
      </c>
    </row>
    <row r="20" customFormat="false" ht="15" hidden="false" customHeight="false" outlineLevel="0" collapsed="false">
      <c r="B20" s="4" t="s">
        <v>25</v>
      </c>
      <c r="C20" s="13" t="n">
        <f aca="false">SUMIFS(Hours!D6:D35,Hours!B6:B35,"P6")+SUMIFS(Hours!E6:E35,Hours!B6:B35,"P6")+SUMIFS(Hours!F6:F35,Hours!B6:B35,"P6")</f>
        <v>132</v>
      </c>
      <c r="D20" s="5" t="n">
        <f aca="false">C20*Rates!C6</f>
        <v>6600</v>
      </c>
      <c r="E20" s="5" t="n">
        <f aca="false">D20*(1+Rates!C14+Rates!C15+Rates!C16)</f>
        <v>9570</v>
      </c>
      <c r="F20" s="5" t="n">
        <f aca="false">E20*(1+Rates!C17)</f>
        <v>11005.5</v>
      </c>
      <c r="G20" s="14" t="s">
        <v>21</v>
      </c>
    </row>
    <row r="21" customFormat="false" ht="15" hidden="false" customHeight="false" outlineLevel="0" collapsed="false">
      <c r="B21" s="4" t="s">
        <v>26</v>
      </c>
      <c r="C21" s="13" t="n">
        <f aca="false">SUMIFS(Hours!D6:D35,Hours!B6:B35,"P7")+SUMIFS(Hours!E6:E35,Hours!B6:B35,"P7")+SUMIFS(Hours!F6:F35,Hours!B6:B35,"P7")</f>
        <v>132</v>
      </c>
      <c r="D21" s="5" t="n">
        <f aca="false">C21*Rates!C6</f>
        <v>6600</v>
      </c>
      <c r="E21" s="5" t="n">
        <f aca="false">D21*(1+Rates!C14+Rates!C15+Rates!C16)</f>
        <v>9570</v>
      </c>
      <c r="F21" s="5" t="n">
        <f aca="false">E21*(1+Rates!C17)</f>
        <v>11005.5</v>
      </c>
      <c r="G21" s="14" t="s">
        <v>21</v>
      </c>
    </row>
    <row r="22" customFormat="false" ht="15" hidden="false" customHeight="false" outlineLevel="0" collapsed="false">
      <c r="B22" s="15" t="s">
        <v>27</v>
      </c>
      <c r="C22" s="16" t="n">
        <f aca="false">SUM(C15:C21)</f>
        <v>1648</v>
      </c>
      <c r="D22" s="6" t="n">
        <f aca="false">SUM(D15:D21)</f>
        <v>82400</v>
      </c>
      <c r="E22" s="6" t="n">
        <f aca="false">SUM(E15:E21)</f>
        <v>119480</v>
      </c>
      <c r="F22" s="6" t="n">
        <f aca="false">SUM(F15:F21)</f>
        <v>137402</v>
      </c>
      <c r="G22" s="17"/>
    </row>
    <row r="23" customFormat="false" ht="15" hidden="false" customHeight="false" outlineLevel="0" collapsed="false">
      <c r="B23" s="18" t="s">
        <v>28</v>
      </c>
      <c r="C23" s="19" t="n">
        <f aca="false">SUM(C16:C21)</f>
        <v>1376</v>
      </c>
      <c r="D23" s="20" t="n">
        <f aca="false">SUM(D16:D21)</f>
        <v>68800</v>
      </c>
      <c r="E23" s="20" t="n">
        <f aca="false">SUM(E16:E21)</f>
        <v>99760</v>
      </c>
      <c r="F23" s="20" t="n">
        <f aca="false">SUM(F16:F21)</f>
        <v>114724</v>
      </c>
      <c r="G23" s="21"/>
    </row>
    <row r="25" customFormat="false" ht="28.35" hidden="false" customHeight="false" outlineLevel="0" collapsed="false">
      <c r="B25" s="22" t="s">
        <v>29</v>
      </c>
      <c r="C25" s="23"/>
      <c r="D25" s="23"/>
      <c r="E25" s="23"/>
      <c r="F25" s="23"/>
      <c r="G25" s="23"/>
    </row>
    <row r="26" customFormat="false" ht="15" hidden="false" customHeight="false" outlineLevel="0" collapsed="false">
      <c r="B26" s="4" t="s">
        <v>30</v>
      </c>
      <c r="C26" s="24" t="n">
        <f aca="false">C23/30</f>
        <v>45.8666666666667</v>
      </c>
      <c r="D26" s="4" t="s">
        <v>31</v>
      </c>
      <c r="E26" s="24" t="n">
        <f aca="false">C26/4.3</f>
        <v>10.6666666666667</v>
      </c>
      <c r="F26" s="4" t="s">
        <v>32</v>
      </c>
    </row>
    <row r="29" customFormat="false" ht="15" hidden="false" customHeight="false" outlineLevel="0" collapsed="false">
      <c r="B29" s="22" t="s">
        <v>33</v>
      </c>
      <c r="C29" s="23"/>
      <c r="D29" s="23"/>
      <c r="E29" s="23"/>
      <c r="F29" s="23"/>
      <c r="G29" s="23"/>
    </row>
    <row r="30" customFormat="false" ht="35.05" hidden="false" customHeight="true" outlineLevel="0" collapsed="false">
      <c r="B30" s="25" t="s">
        <v>34</v>
      </c>
      <c r="C30" s="26" t="s">
        <v>35</v>
      </c>
      <c r="D30" s="26"/>
      <c r="E30" s="26"/>
      <c r="F30" s="26"/>
      <c r="G30" s="26"/>
    </row>
    <row r="31" customFormat="false" ht="35.05" hidden="false" customHeight="true" outlineLevel="0" collapsed="false">
      <c r="B31" s="25" t="s">
        <v>36</v>
      </c>
      <c r="C31" s="26" t="s">
        <v>37</v>
      </c>
      <c r="D31" s="26"/>
      <c r="E31" s="26"/>
      <c r="F31" s="26"/>
      <c r="G31" s="26"/>
    </row>
    <row r="32" customFormat="false" ht="23.85" hidden="false" customHeight="true" outlineLevel="0" collapsed="false">
      <c r="B32" s="25" t="s">
        <v>38</v>
      </c>
      <c r="C32" s="26" t="s">
        <v>39</v>
      </c>
      <c r="D32" s="26"/>
      <c r="E32" s="26"/>
      <c r="F32" s="26"/>
      <c r="G32" s="26"/>
    </row>
  </sheetData>
  <mergeCells count="3">
    <mergeCell ref="C30:G30"/>
    <mergeCell ref="C31:G31"/>
    <mergeCell ref="C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40</v>
      </c>
    </row>
    <row r="3" customFormat="false" ht="15" hidden="false" customHeight="false" outlineLevel="0" collapsed="false">
      <c r="B3" s="2" t="s">
        <v>41</v>
      </c>
    </row>
    <row r="5" customFormat="false" ht="15" hidden="false" customHeight="false" outlineLevel="0" collapsed="false">
      <c r="B5" s="3" t="s">
        <v>3</v>
      </c>
      <c r="C5" s="3" t="s">
        <v>42</v>
      </c>
      <c r="D5" s="3" t="s">
        <v>43</v>
      </c>
    </row>
    <row r="6" customFormat="false" ht="23.85" hidden="false" customHeight="false" outlineLevel="0" collapsed="false">
      <c r="B6" s="4" t="s">
        <v>44</v>
      </c>
      <c r="C6" s="5" t="n">
        <v>50</v>
      </c>
      <c r="D6" s="4" t="s">
        <v>45</v>
      </c>
    </row>
    <row r="7" customFormat="false" ht="15" hidden="false" customHeight="false" outlineLevel="0" collapsed="false">
      <c r="B7" s="4" t="s">
        <v>10</v>
      </c>
      <c r="C7" s="5" t="n">
        <v>40</v>
      </c>
      <c r="D7" s="4" t="s">
        <v>46</v>
      </c>
    </row>
    <row r="8" customFormat="false" ht="15" hidden="false" customHeight="false" outlineLevel="0" collapsed="false">
      <c r="B8" s="4" t="s">
        <v>11</v>
      </c>
      <c r="C8" s="5" t="n">
        <v>110</v>
      </c>
      <c r="D8" s="4" t="s">
        <v>47</v>
      </c>
    </row>
    <row r="9" customFormat="false" ht="15" hidden="false" customHeight="false" outlineLevel="0" collapsed="false">
      <c r="B9" s="4" t="s">
        <v>12</v>
      </c>
      <c r="C9" s="5" t="n">
        <v>140</v>
      </c>
      <c r="D9" s="4" t="s">
        <v>48</v>
      </c>
    </row>
    <row r="12" customFormat="false" ht="15" hidden="false" customHeight="false" outlineLevel="0" collapsed="false">
      <c r="B12" s="7" t="s">
        <v>49</v>
      </c>
      <c r="C12" s="8"/>
      <c r="D12" s="8"/>
    </row>
    <row r="13" customFormat="false" ht="15" hidden="false" customHeight="false" outlineLevel="0" collapsed="false">
      <c r="B13" s="3" t="s">
        <v>50</v>
      </c>
      <c r="C13" s="3" t="s">
        <v>51</v>
      </c>
      <c r="D13" s="3" t="s">
        <v>43</v>
      </c>
    </row>
    <row r="14" customFormat="false" ht="15" hidden="false" customHeight="false" outlineLevel="0" collapsed="false">
      <c r="B14" s="4" t="s">
        <v>52</v>
      </c>
      <c r="C14" s="27" t="n">
        <v>0.15</v>
      </c>
      <c r="D14" s="4" t="s">
        <v>53</v>
      </c>
    </row>
    <row r="15" customFormat="false" ht="15" hidden="false" customHeight="false" outlineLevel="0" collapsed="false">
      <c r="B15" s="4" t="s">
        <v>54</v>
      </c>
      <c r="C15" s="27" t="n">
        <v>0.2</v>
      </c>
      <c r="D15" s="4" t="s">
        <v>55</v>
      </c>
    </row>
    <row r="16" customFormat="false" ht="15" hidden="false" customHeight="false" outlineLevel="0" collapsed="false">
      <c r="B16" s="4" t="s">
        <v>56</v>
      </c>
      <c r="C16" s="27" t="n">
        <v>0.1</v>
      </c>
      <c r="D16" s="4" t="s">
        <v>57</v>
      </c>
    </row>
    <row r="17" customFormat="false" ht="15" hidden="false" customHeight="false" outlineLevel="0" collapsed="false">
      <c r="B17" s="4" t="s">
        <v>58</v>
      </c>
      <c r="C17" s="27" t="n">
        <v>0.15</v>
      </c>
      <c r="D17" s="4" t="s">
        <v>59</v>
      </c>
    </row>
    <row r="20" customFormat="false" ht="15" hidden="false" customHeight="false" outlineLevel="0" collapsed="false">
      <c r="B20" s="7" t="s">
        <v>60</v>
      </c>
      <c r="C20" s="8"/>
      <c r="D20" s="8"/>
    </row>
    <row r="21" customFormat="false" ht="15" hidden="false" customHeight="false" outlineLevel="0" collapsed="false">
      <c r="B21" s="3" t="s">
        <v>50</v>
      </c>
      <c r="C21" s="3" t="s">
        <v>61</v>
      </c>
      <c r="D21" s="3" t="s">
        <v>43</v>
      </c>
    </row>
    <row r="22" customFormat="false" ht="15" hidden="false" customHeight="false" outlineLevel="0" collapsed="false">
      <c r="B22" s="4" t="s">
        <v>62</v>
      </c>
      <c r="C22" s="5" t="n">
        <v>99</v>
      </c>
      <c r="D22" s="4" t="s">
        <v>63</v>
      </c>
    </row>
    <row r="23" customFormat="false" ht="15" hidden="false" customHeight="false" outlineLevel="0" collapsed="false">
      <c r="B23" s="4" t="s">
        <v>64</v>
      </c>
      <c r="C23" s="5" t="n">
        <v>25</v>
      </c>
      <c r="D23" s="4" t="s">
        <v>65</v>
      </c>
    </row>
    <row r="24" customFormat="false" ht="15" hidden="false" customHeight="false" outlineLevel="0" collapsed="false">
      <c r="B24" s="4" t="s">
        <v>66</v>
      </c>
      <c r="C24" s="5" t="n">
        <v>100</v>
      </c>
      <c r="D24" s="4" t="s">
        <v>67</v>
      </c>
    </row>
    <row r="25" customFormat="false" ht="15" hidden="false" customHeight="false" outlineLevel="0" collapsed="false">
      <c r="B25" s="4" t="s">
        <v>68</v>
      </c>
      <c r="C25" s="5" t="n">
        <v>180</v>
      </c>
      <c r="D25" s="4" t="s">
        <v>69</v>
      </c>
    </row>
    <row r="26" customFormat="false" ht="15" hidden="false" customHeight="false" outlineLevel="0" collapsed="false">
      <c r="B26" s="4" t="s">
        <v>70</v>
      </c>
      <c r="C26" s="5" t="n">
        <v>500</v>
      </c>
      <c r="D26" s="4" t="s">
        <v>71</v>
      </c>
    </row>
    <row r="27" customFormat="false" ht="15" hidden="false" customHeight="false" outlineLevel="0" collapsed="false">
      <c r="B27" s="4" t="s">
        <v>72</v>
      </c>
      <c r="C27" s="5" t="n">
        <v>1500</v>
      </c>
      <c r="D27" s="4" t="s">
        <v>73</v>
      </c>
    </row>
    <row r="28" customFormat="false" ht="15" hidden="false" customHeight="false" outlineLevel="0" collapsed="false">
      <c r="B28" s="4" t="s">
        <v>74</v>
      </c>
      <c r="C28" s="5" t="n">
        <v>3000</v>
      </c>
      <c r="D28" s="4" t="s">
        <v>75</v>
      </c>
    </row>
    <row r="29" customFormat="false" ht="15" hidden="false" customHeight="false" outlineLevel="0" collapsed="false">
      <c r="B29" s="4" t="s">
        <v>76</v>
      </c>
      <c r="C29" s="5" t="n">
        <v>0</v>
      </c>
      <c r="D29" s="4" t="s">
        <v>77</v>
      </c>
    </row>
    <row r="30" customFormat="false" ht="15" hidden="false" customHeight="false" outlineLevel="0" collapsed="false">
      <c r="B30" s="4" t="s">
        <v>78</v>
      </c>
      <c r="C30" s="5" t="n">
        <v>0</v>
      </c>
      <c r="D30" s="4" t="s">
        <v>79</v>
      </c>
    </row>
    <row r="31" customFormat="false" ht="15" hidden="false" customHeight="false" outlineLevel="0" collapsed="false">
      <c r="B31" s="4" t="s">
        <v>80</v>
      </c>
      <c r="C31" s="5" t="n">
        <v>300</v>
      </c>
      <c r="D31" s="4" t="s">
        <v>81</v>
      </c>
    </row>
    <row r="32" customFormat="false" ht="15" hidden="false" customHeight="false" outlineLevel="0" collapsed="false">
      <c r="B32" s="15" t="s">
        <v>82</v>
      </c>
      <c r="C32" s="6" t="n">
        <f aca="false">SUM(C22:C31)</f>
        <v>5704</v>
      </c>
      <c r="D3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6" min="4" style="0" width="12"/>
    <col collapsed="false" customWidth="true" hidden="false" outlineLevel="0" max="7" min="7" style="0" width="50"/>
  </cols>
  <sheetData>
    <row r="2" customFormat="false" ht="17.35" hidden="false" customHeight="false" outlineLevel="0" collapsed="false">
      <c r="B2" s="1" t="s">
        <v>83</v>
      </c>
    </row>
    <row r="3" customFormat="false" ht="15" hidden="false" customHeight="false" outlineLevel="0" collapsed="false">
      <c r="B3" s="2" t="s">
        <v>84</v>
      </c>
    </row>
    <row r="5" customFormat="false" ht="15" hidden="false" customHeight="false" outlineLevel="0" collapsed="false">
      <c r="B5" s="3" t="s">
        <v>14</v>
      </c>
      <c r="C5" s="3" t="s">
        <v>85</v>
      </c>
      <c r="D5" s="3" t="s">
        <v>86</v>
      </c>
      <c r="E5" s="3" t="s">
        <v>87</v>
      </c>
      <c r="F5" s="3" t="s">
        <v>88</v>
      </c>
      <c r="G5" s="3" t="s">
        <v>89</v>
      </c>
    </row>
    <row r="6" customFormat="false" ht="23.85" hidden="false" customHeight="false" outlineLevel="0" collapsed="false">
      <c r="B6" s="28" t="s">
        <v>90</v>
      </c>
      <c r="C6" s="9" t="s">
        <v>91</v>
      </c>
      <c r="D6" s="10" t="n">
        <v>24</v>
      </c>
      <c r="E6" s="10" t="n">
        <v>20</v>
      </c>
      <c r="F6" s="10" t="n">
        <v>8</v>
      </c>
      <c r="G6" s="9" t="s">
        <v>92</v>
      </c>
    </row>
    <row r="7" customFormat="false" ht="15" hidden="false" customHeight="false" outlineLevel="0" collapsed="false">
      <c r="B7" s="28" t="s">
        <v>90</v>
      </c>
      <c r="C7" s="9" t="s">
        <v>93</v>
      </c>
      <c r="D7" s="10" t="n">
        <v>40</v>
      </c>
      <c r="E7" s="10" t="n">
        <v>32</v>
      </c>
      <c r="F7" s="10" t="n">
        <v>12</v>
      </c>
      <c r="G7" s="9" t="s">
        <v>94</v>
      </c>
    </row>
    <row r="8" customFormat="false" ht="15" hidden="false" customHeight="false" outlineLevel="0" collapsed="false">
      <c r="B8" s="28" t="s">
        <v>90</v>
      </c>
      <c r="C8" s="9" t="s">
        <v>95</v>
      </c>
      <c r="D8" s="10" t="n">
        <v>28</v>
      </c>
      <c r="E8" s="10" t="n">
        <v>24</v>
      </c>
      <c r="F8" s="10" t="n">
        <v>8</v>
      </c>
      <c r="G8" s="9" t="s">
        <v>96</v>
      </c>
    </row>
    <row r="9" customFormat="false" ht="15" hidden="false" customHeight="false" outlineLevel="0" collapsed="false">
      <c r="B9" s="28" t="s">
        <v>90</v>
      </c>
      <c r="C9" s="9" t="s">
        <v>97</v>
      </c>
      <c r="D9" s="10" t="n">
        <v>16</v>
      </c>
      <c r="E9" s="10" t="n">
        <v>12</v>
      </c>
      <c r="F9" s="10" t="n">
        <v>0</v>
      </c>
      <c r="G9" s="9" t="s">
        <v>98</v>
      </c>
    </row>
    <row r="10" customFormat="false" ht="15" hidden="false" customHeight="false" outlineLevel="0" collapsed="false">
      <c r="B10" s="28" t="s">
        <v>90</v>
      </c>
      <c r="C10" s="9" t="s">
        <v>99</v>
      </c>
      <c r="D10" s="10" t="n">
        <v>8</v>
      </c>
      <c r="E10" s="10" t="n">
        <v>0</v>
      </c>
      <c r="F10" s="10" t="n">
        <v>40</v>
      </c>
      <c r="G10" s="9" t="s">
        <v>100</v>
      </c>
    </row>
    <row r="11" customFormat="false" ht="15" hidden="false" customHeight="false" outlineLevel="0" collapsed="false">
      <c r="B11" s="29" t="s">
        <v>101</v>
      </c>
      <c r="C11" s="4" t="s">
        <v>102</v>
      </c>
      <c r="D11" s="13" t="n">
        <v>32</v>
      </c>
      <c r="E11" s="13" t="n">
        <v>36</v>
      </c>
      <c r="F11" s="13" t="n">
        <v>16</v>
      </c>
      <c r="G11" s="4" t="s">
        <v>103</v>
      </c>
    </row>
    <row r="12" customFormat="false" ht="15" hidden="false" customHeight="false" outlineLevel="0" collapsed="false">
      <c r="B12" s="29" t="s">
        <v>101</v>
      </c>
      <c r="C12" s="4" t="s">
        <v>104</v>
      </c>
      <c r="D12" s="13" t="n">
        <v>28</v>
      </c>
      <c r="E12" s="13" t="n">
        <v>28</v>
      </c>
      <c r="F12" s="13" t="n">
        <v>12</v>
      </c>
      <c r="G12" s="4" t="s">
        <v>105</v>
      </c>
    </row>
    <row r="13" customFormat="false" ht="23.85" hidden="false" customHeight="false" outlineLevel="0" collapsed="false">
      <c r="B13" s="29" t="s">
        <v>101</v>
      </c>
      <c r="C13" s="4" t="s">
        <v>106</v>
      </c>
      <c r="D13" s="13" t="n">
        <v>40</v>
      </c>
      <c r="E13" s="13" t="n">
        <v>16</v>
      </c>
      <c r="F13" s="13" t="n">
        <v>0</v>
      </c>
      <c r="G13" s="4" t="s">
        <v>107</v>
      </c>
    </row>
    <row r="14" customFormat="false" ht="23.85" hidden="false" customHeight="false" outlineLevel="0" collapsed="false">
      <c r="B14" s="29" t="s">
        <v>101</v>
      </c>
      <c r="C14" s="4" t="s">
        <v>108</v>
      </c>
      <c r="D14" s="13" t="n">
        <v>24</v>
      </c>
      <c r="E14" s="13" t="n">
        <v>12</v>
      </c>
      <c r="F14" s="13" t="n">
        <v>0</v>
      </c>
      <c r="G14" s="4" t="s">
        <v>109</v>
      </c>
    </row>
    <row r="15" customFormat="false" ht="15" hidden="false" customHeight="false" outlineLevel="0" collapsed="false">
      <c r="B15" s="29" t="s">
        <v>101</v>
      </c>
      <c r="C15" s="4" t="s">
        <v>110</v>
      </c>
      <c r="D15" s="13" t="n">
        <v>20</v>
      </c>
      <c r="E15" s="13" t="n">
        <v>8</v>
      </c>
      <c r="F15" s="13" t="n">
        <v>12</v>
      </c>
      <c r="G15" s="4" t="s">
        <v>111</v>
      </c>
    </row>
    <row r="16" customFormat="false" ht="15" hidden="false" customHeight="false" outlineLevel="0" collapsed="false">
      <c r="B16" s="29" t="s">
        <v>112</v>
      </c>
      <c r="C16" s="4" t="s">
        <v>113</v>
      </c>
      <c r="D16" s="13" t="n">
        <v>16</v>
      </c>
      <c r="E16" s="13" t="n">
        <v>40</v>
      </c>
      <c r="F16" s="13" t="n">
        <v>12</v>
      </c>
      <c r="G16" s="4" t="s">
        <v>114</v>
      </c>
    </row>
    <row r="17" customFormat="false" ht="15" hidden="false" customHeight="false" outlineLevel="0" collapsed="false">
      <c r="B17" s="29" t="s">
        <v>112</v>
      </c>
      <c r="C17" s="4" t="s">
        <v>115</v>
      </c>
      <c r="D17" s="13" t="n">
        <v>28</v>
      </c>
      <c r="E17" s="13" t="n">
        <v>24</v>
      </c>
      <c r="F17" s="13" t="n">
        <v>16</v>
      </c>
      <c r="G17" s="4" t="s">
        <v>116</v>
      </c>
    </row>
    <row r="18" customFormat="false" ht="15" hidden="false" customHeight="false" outlineLevel="0" collapsed="false">
      <c r="B18" s="29" t="s">
        <v>112</v>
      </c>
      <c r="C18" s="4" t="s">
        <v>117</v>
      </c>
      <c r="D18" s="13" t="n">
        <v>32</v>
      </c>
      <c r="E18" s="13" t="n">
        <v>20</v>
      </c>
      <c r="F18" s="13" t="n">
        <v>8</v>
      </c>
      <c r="G18" s="4" t="s">
        <v>118</v>
      </c>
    </row>
    <row r="19" customFormat="false" ht="15" hidden="false" customHeight="false" outlineLevel="0" collapsed="false">
      <c r="B19" s="29" t="s">
        <v>112</v>
      </c>
      <c r="C19" s="4" t="s">
        <v>119</v>
      </c>
      <c r="D19" s="13" t="n">
        <v>16</v>
      </c>
      <c r="E19" s="13" t="n">
        <v>12</v>
      </c>
      <c r="F19" s="13" t="n">
        <v>4</v>
      </c>
      <c r="G19" s="4" t="s">
        <v>120</v>
      </c>
    </row>
    <row r="20" customFormat="false" ht="15" hidden="false" customHeight="false" outlineLevel="0" collapsed="false">
      <c r="B20" s="29" t="s">
        <v>121</v>
      </c>
      <c r="C20" s="4" t="s">
        <v>122</v>
      </c>
      <c r="D20" s="13" t="n">
        <v>32</v>
      </c>
      <c r="E20" s="13" t="n">
        <v>24</v>
      </c>
      <c r="F20" s="13" t="n">
        <v>0</v>
      </c>
      <c r="G20" s="4" t="s">
        <v>123</v>
      </c>
    </row>
    <row r="21" customFormat="false" ht="15" hidden="false" customHeight="false" outlineLevel="0" collapsed="false">
      <c r="B21" s="29" t="s">
        <v>121</v>
      </c>
      <c r="C21" s="4" t="s">
        <v>124</v>
      </c>
      <c r="D21" s="13" t="n">
        <v>40</v>
      </c>
      <c r="E21" s="13" t="n">
        <v>20</v>
      </c>
      <c r="F21" s="13" t="n">
        <v>8</v>
      </c>
      <c r="G21" s="4" t="s">
        <v>125</v>
      </c>
    </row>
    <row r="22" customFormat="false" ht="15" hidden="false" customHeight="false" outlineLevel="0" collapsed="false">
      <c r="B22" s="29" t="s">
        <v>121</v>
      </c>
      <c r="C22" s="4" t="s">
        <v>126</v>
      </c>
      <c r="D22" s="13" t="n">
        <v>20</v>
      </c>
      <c r="E22" s="13" t="n">
        <v>8</v>
      </c>
      <c r="F22" s="13" t="n">
        <v>0</v>
      </c>
      <c r="G22" s="4" t="s">
        <v>127</v>
      </c>
    </row>
    <row r="23" customFormat="false" ht="15" hidden="false" customHeight="false" outlineLevel="0" collapsed="false">
      <c r="B23" s="29" t="s">
        <v>128</v>
      </c>
      <c r="C23" s="4" t="s">
        <v>129</v>
      </c>
      <c r="D23" s="13" t="n">
        <v>32</v>
      </c>
      <c r="E23" s="13" t="n">
        <v>32</v>
      </c>
      <c r="F23" s="13" t="n">
        <v>16</v>
      </c>
      <c r="G23" s="4" t="s">
        <v>130</v>
      </c>
    </row>
    <row r="24" customFormat="false" ht="15" hidden="false" customHeight="false" outlineLevel="0" collapsed="false">
      <c r="B24" s="29" t="s">
        <v>128</v>
      </c>
      <c r="C24" s="4" t="s">
        <v>131</v>
      </c>
      <c r="D24" s="13" t="n">
        <v>36</v>
      </c>
      <c r="E24" s="13" t="n">
        <v>28</v>
      </c>
      <c r="F24" s="13" t="n">
        <v>12</v>
      </c>
      <c r="G24" s="4" t="s">
        <v>132</v>
      </c>
    </row>
    <row r="25" customFormat="false" ht="15" hidden="false" customHeight="false" outlineLevel="0" collapsed="false">
      <c r="B25" s="29" t="s">
        <v>128</v>
      </c>
      <c r="C25" s="4" t="s">
        <v>133</v>
      </c>
      <c r="D25" s="13" t="n">
        <v>24</v>
      </c>
      <c r="E25" s="13" t="n">
        <v>24</v>
      </c>
      <c r="F25" s="13" t="n">
        <v>12</v>
      </c>
      <c r="G25" s="4" t="s">
        <v>134</v>
      </c>
    </row>
    <row r="26" customFormat="false" ht="15" hidden="false" customHeight="false" outlineLevel="0" collapsed="false">
      <c r="B26" s="29" t="s">
        <v>128</v>
      </c>
      <c r="C26" s="4" t="s">
        <v>135</v>
      </c>
      <c r="D26" s="13" t="n">
        <v>20</v>
      </c>
      <c r="E26" s="13" t="n">
        <v>20</v>
      </c>
      <c r="F26" s="13" t="n">
        <v>24</v>
      </c>
      <c r="G26" s="4" t="s">
        <v>136</v>
      </c>
    </row>
    <row r="27" customFormat="false" ht="15" hidden="false" customHeight="false" outlineLevel="0" collapsed="false">
      <c r="B27" s="29" t="s">
        <v>128</v>
      </c>
      <c r="C27" s="4" t="s">
        <v>137</v>
      </c>
      <c r="D27" s="13" t="n">
        <v>40</v>
      </c>
      <c r="E27" s="13" t="n">
        <v>24</v>
      </c>
      <c r="F27" s="13" t="n">
        <v>8</v>
      </c>
      <c r="G27" s="4" t="s">
        <v>138</v>
      </c>
    </row>
    <row r="28" customFormat="false" ht="15" hidden="false" customHeight="false" outlineLevel="0" collapsed="false">
      <c r="B28" s="29" t="s">
        <v>128</v>
      </c>
      <c r="C28" s="4" t="s">
        <v>139</v>
      </c>
      <c r="D28" s="13" t="n">
        <v>28</v>
      </c>
      <c r="E28" s="13" t="n">
        <v>24</v>
      </c>
      <c r="F28" s="13" t="n">
        <v>16</v>
      </c>
      <c r="G28" s="4" t="s">
        <v>140</v>
      </c>
    </row>
    <row r="29" customFormat="false" ht="15" hidden="false" customHeight="false" outlineLevel="0" collapsed="false">
      <c r="B29" s="29" t="s">
        <v>128</v>
      </c>
      <c r="C29" s="4" t="s">
        <v>141</v>
      </c>
      <c r="D29" s="13" t="n">
        <v>24</v>
      </c>
      <c r="E29" s="13" t="n">
        <v>4</v>
      </c>
      <c r="F29" s="13" t="n">
        <v>0</v>
      </c>
      <c r="G29" s="4" t="s">
        <v>142</v>
      </c>
    </row>
    <row r="30" customFormat="false" ht="15" hidden="false" customHeight="false" outlineLevel="0" collapsed="false">
      <c r="B30" s="29" t="s">
        <v>143</v>
      </c>
      <c r="C30" s="4" t="s">
        <v>144</v>
      </c>
      <c r="D30" s="13" t="n">
        <v>20</v>
      </c>
      <c r="E30" s="13" t="n">
        <v>24</v>
      </c>
      <c r="F30" s="13" t="n">
        <v>12</v>
      </c>
      <c r="G30" s="4" t="s">
        <v>145</v>
      </c>
    </row>
    <row r="31" customFormat="false" ht="15" hidden="false" customHeight="false" outlineLevel="0" collapsed="false">
      <c r="B31" s="29" t="s">
        <v>143</v>
      </c>
      <c r="C31" s="4" t="s">
        <v>146</v>
      </c>
      <c r="D31" s="13" t="n">
        <v>24</v>
      </c>
      <c r="E31" s="13" t="n">
        <v>16</v>
      </c>
      <c r="F31" s="13" t="n">
        <v>4</v>
      </c>
      <c r="G31" s="4" t="s">
        <v>147</v>
      </c>
    </row>
    <row r="32" customFormat="false" ht="15" hidden="false" customHeight="false" outlineLevel="0" collapsed="false">
      <c r="B32" s="29" t="s">
        <v>143</v>
      </c>
      <c r="C32" s="4" t="s">
        <v>148</v>
      </c>
      <c r="D32" s="13" t="n">
        <v>16</v>
      </c>
      <c r="E32" s="13" t="n">
        <v>12</v>
      </c>
      <c r="F32" s="13" t="n">
        <v>4</v>
      </c>
      <c r="G32" s="4" t="s">
        <v>149</v>
      </c>
    </row>
    <row r="33" customFormat="false" ht="15" hidden="false" customHeight="false" outlineLevel="0" collapsed="false">
      <c r="B33" s="29" t="s">
        <v>150</v>
      </c>
      <c r="C33" s="4" t="s">
        <v>151</v>
      </c>
      <c r="D33" s="13" t="n">
        <v>20</v>
      </c>
      <c r="E33" s="13" t="n">
        <v>24</v>
      </c>
      <c r="F33" s="13" t="n">
        <v>16</v>
      </c>
      <c r="G33" s="4" t="s">
        <v>152</v>
      </c>
    </row>
    <row r="34" customFormat="false" ht="15" hidden="false" customHeight="false" outlineLevel="0" collapsed="false">
      <c r="B34" s="29" t="s">
        <v>150</v>
      </c>
      <c r="C34" s="4" t="s">
        <v>153</v>
      </c>
      <c r="D34" s="13" t="n">
        <v>16</v>
      </c>
      <c r="E34" s="13" t="n">
        <v>12</v>
      </c>
      <c r="F34" s="13" t="n">
        <v>0</v>
      </c>
      <c r="G34" s="4" t="s">
        <v>154</v>
      </c>
    </row>
    <row r="35" customFormat="false" ht="15" hidden="false" customHeight="false" outlineLevel="0" collapsed="false">
      <c r="B35" s="29" t="s">
        <v>150</v>
      </c>
      <c r="C35" s="4" t="s">
        <v>155</v>
      </c>
      <c r="D35" s="13" t="n">
        <v>24</v>
      </c>
      <c r="E35" s="13" t="n">
        <v>16</v>
      </c>
      <c r="F35" s="13" t="n">
        <v>4</v>
      </c>
      <c r="G35" s="4" t="s">
        <v>156</v>
      </c>
    </row>
    <row r="36" customFormat="false" ht="15" hidden="false" customHeight="false" outlineLevel="0" collapsed="false">
      <c r="B36" s="17"/>
      <c r="C36" s="15" t="s">
        <v>157</v>
      </c>
      <c r="D36" s="16" t="n">
        <f aca="false">SUM(D6:D35)</f>
        <v>768</v>
      </c>
      <c r="E36" s="16" t="n">
        <f aca="false">SUM(E6:E35)</f>
        <v>596</v>
      </c>
      <c r="F36" s="16" t="n">
        <f aca="false">SUM(F6:F35)</f>
        <v>284</v>
      </c>
      <c r="G36" s="17"/>
    </row>
    <row r="37" customFormat="false" ht="29.85" hidden="false" customHeight="false" outlineLevel="0" collapsed="false">
      <c r="B37" s="30"/>
      <c r="C37" s="31" t="s">
        <v>158</v>
      </c>
      <c r="D37" s="32" t="n">
        <f aca="false">SUM(D36:F36)</f>
        <v>1648</v>
      </c>
      <c r="E37" s="33"/>
      <c r="F37" s="33"/>
      <c r="G3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2026-06-03T15:55:08Z</dcterms:created>
  <dc:creator>openpyxl</dc:creator>
  <dc:description/>
  <dc:language>en-US</dc:language>
  <cp:lastModifiedBy/>
  <dcterms:modified xsi:type="dcterms:W3CDTF">2026-06-03T15:55:08Z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