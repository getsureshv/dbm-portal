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tes" sheetId="2" state="visible" r:id="rId4"/>
    <sheet name="Wave Hou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<sst xmlns="http://schemas.openxmlformats.org/spreadsheetml/2006/main" count="146" uniqueCount="129">
  <si>
    <t xml:space="preserve">DBM City Integration — Phased Build Cost</t>
  </si>
  <si>
    <t xml:space="preserve">Wave 1: Dallas (Accela). Wave 2: Flower Mound (eTRAKiT/Shovels). Wave 3: Houston (legacy ILMS).</t>
  </si>
  <si>
    <t xml:space="preserve">Cost per wave at solo/founder rate. Switch rate via the Rates sheet to see other scenarios.</t>
  </si>
  <si>
    <t xml:space="preserve">Wave</t>
  </si>
  <si>
    <t xml:space="preserve">Hours</t>
  </si>
  <si>
    <t xml:space="preserve">Eng cost</t>
  </si>
  <si>
    <t xml:space="preserve">+Design/QA/PM</t>
  </si>
  <si>
    <t xml:space="preserve">+Contingency</t>
  </si>
  <si>
    <t xml:space="preserve">+Hard share (= Wave total)</t>
  </si>
  <si>
    <t xml:space="preserve">Wave 1 — Dallas (Accela)</t>
  </si>
  <si>
    <t xml:space="preserve">Wave 2 — Flower Mound</t>
  </si>
  <si>
    <t xml:space="preserve">Wave 3 — Houston (ILMS)</t>
  </si>
  <si>
    <t xml:space="preserve">ALL WAVES (v1 total, solo rate)</t>
  </si>
  <si>
    <t xml:space="preserve">Total v1 build by rate scenario</t>
  </si>
  <si>
    <t xml:space="preserve">Scenario</t>
  </si>
  <si>
    <t xml:space="preserve">$/hr</t>
  </si>
  <si>
    <t xml:space="preserve">W1 cost</t>
  </si>
  <si>
    <t xml:space="preserve">W2 cost</t>
  </si>
  <si>
    <t xml:space="preserve">W3 cost</t>
  </si>
  <si>
    <t xml:space="preserve">Total v1</t>
  </si>
  <si>
    <t xml:space="preserve">Solo / founder-built (you + AI)</t>
  </si>
  <si>
    <t xml:space="preserve">Offshore agency</t>
  </si>
  <si>
    <t xml:space="preserve">US contractor / boutique</t>
  </si>
  <si>
    <t xml:space="preserve">US FTE blended</t>
  </si>
  <si>
    <t xml:space="preserve">Year 1 total at solo rate (build + Y1 vendor opex)</t>
  </si>
  <si>
    <t xml:space="preserve">One-time v1 build (solo, all 3 waves)</t>
  </si>
  <si>
    <t xml:space="preserve">Year 1 vendor opex</t>
  </si>
  <si>
    <t xml:space="preserve">Year 1 total (solo)</t>
  </si>
  <si>
    <t xml:space="preserve">Calendar time (solo @ ~30 hrs/week)</t>
  </si>
  <si>
    <t xml:space="preserve">Wave 1 — Dallas</t>
  </si>
  <si>
    <t xml:space="preserve">weeks (~4 weeks with agents in parallel)</t>
  </si>
  <si>
    <t xml:space="preserve">weeks (~3 weeks with agents in parallel)</t>
  </si>
  <si>
    <t xml:space="preserve">Wave 3 — Houston</t>
  </si>
  <si>
    <t xml:space="preserve">weeks (~5–6 weeks with agents in parallel)</t>
  </si>
  <si>
    <t xml:space="preserve">Scale-out after v1 (marginal cost per additional city)</t>
  </si>
  <si>
    <t xml:space="preserve">Next-city tier</t>
  </si>
  <si>
    <t xml:space="preserve">Cities</t>
  </si>
  <si>
    <t xml:space="preserve">Avg hrs</t>
  </si>
  <si>
    <t xml:space="preserve">Eng cost @ solo</t>
  </si>
  <si>
    <t xml:space="preserve">Notes</t>
  </si>
  <si>
    <t xml:space="preserve">Another Accela city (FW, Arlington)</t>
  </si>
  <si>
    <t xml:space="preserve">Adapter exists; config + smoke + amendments only.</t>
  </si>
  <si>
    <t xml:space="preserve">Another eTRAKiT city (Plano, Frisco)</t>
  </si>
  <si>
    <t xml:space="preserve">Reuse Flower Mound adapter.</t>
  </si>
  <si>
    <t xml:space="preserve">Another ILMS-style legacy portal</t>
  </si>
  <si>
    <t xml:space="preserve">Different HTML each time.</t>
  </si>
  <si>
    <t xml:space="preserve">Brand-new vendor</t>
  </si>
  <si>
    <t xml:space="preserve">Discovery + new adapter + tests.</t>
  </si>
  <si>
    <t xml:space="preserve">Scope notes</t>
  </si>
  <si>
    <t xml:space="preserve">Accela Construct API. Builds the schema, adapter interface, code framework, ops console. Roughly half the build sits here because it's the foundation.</t>
  </si>
  <si>
    <t xml:space="preserve">Shovels.ai if it covers — verified in Discovery. Otherwise eTRAKiT portal automation. Reuses everything from Wave 1.</t>
  </si>
  <si>
    <t xml:space="preserve">Legacy ILMS portal automation + Houston code amendments. No zoning rules (Houston has none). Highest contingency (40%).</t>
  </si>
  <si>
    <t xml:space="preserve">In v1 scope</t>
  </si>
  <si>
    <t xml:space="preserve">Permit lookup (read-only) + code/rules lookup. Admin console, smoke tests, 3-city support.</t>
  </si>
  <si>
    <t xml:space="preserve">Out of v1</t>
  </si>
  <si>
    <t xml:space="preserve">Electronic permit filing (write). Inspection scheduling. Mobile-app surfaces. Cities beyond Dallas/FM/Houston. SOC 2.</t>
  </si>
  <si>
    <t xml:space="preserve">Vendor opex</t>
  </si>
  <si>
    <t xml:space="preserve">Shown on Rates sheet — does not roll into build cost. Year 1 total includes it.</t>
  </si>
  <si>
    <t xml:space="preserve">Blended Rates ($/hour)</t>
  </si>
  <si>
    <t xml:space="preserve">Same scenarios as DBM_Build_Cost.xlsx. Edit to flex the model.</t>
  </si>
  <si>
    <t xml:space="preserve">Blended $/hr</t>
  </si>
  <si>
    <t xml:space="preserve">Solo / founder-built (you + AI agents)</t>
  </si>
  <si>
    <t xml:space="preserve">Your time × AI subagent throughput.</t>
  </si>
  <si>
    <t xml:space="preserve">India / LATAM senior+mid blend.</t>
  </si>
  <si>
    <t xml:space="preserve">US senior contractor + mid.</t>
  </si>
  <si>
    <t xml:space="preserve">Loaded annual / 1800 productive hrs.</t>
  </si>
  <si>
    <t xml:space="preserve">Multipliers (applied on top of engineering cost)</t>
  </si>
  <si>
    <t xml:space="preserve">Item</t>
  </si>
  <si>
    <t xml:space="preserve">Value</t>
  </si>
  <si>
    <t xml:space="preserve">Design % of build</t>
  </si>
  <si>
    <t xml:space="preserve">Light — admin/ops UI mostly.</t>
  </si>
  <si>
    <t xml:space="preserve">QA % of build</t>
  </si>
  <si>
    <t xml:space="preserve">Heavier — integration testing per city.</t>
  </si>
  <si>
    <t xml:space="preserve">PM / coordination %</t>
  </si>
  <si>
    <t xml:space="preserve">Vendor coordination.</t>
  </si>
  <si>
    <t xml:space="preserve">Wave 1 contingency %</t>
  </si>
  <si>
    <t xml:space="preserve">Dallas — Accela has docs, lower risk.</t>
  </si>
  <si>
    <t xml:space="preserve">Wave 2 contingency %</t>
  </si>
  <si>
    <t xml:space="preserve">Flower Mound — vendor-gated, moderate risk.</t>
  </si>
  <si>
    <t xml:space="preserve">Wave 3 contingency %</t>
  </si>
  <si>
    <t xml:space="preserve">Houston — legacy ILMS, high risk of surprises.</t>
  </si>
  <si>
    <t xml:space="preserve">Vendor &amp; recurring cost (annual, opex — not in build total)</t>
  </si>
  <si>
    <t xml:space="preserve">Vendor</t>
  </si>
  <si>
    <t xml:space="preserve">$/yr</t>
  </si>
  <si>
    <t xml:space="preserve">Shovels.ai API (self-serve)</t>
  </si>
  <si>
    <t xml:space="preserve">$599/mo × 12. Only $ if it covers FM/Houston.</t>
  </si>
  <si>
    <t xml:space="preserve">Accela Developer Construct API (read)</t>
  </si>
  <si>
    <t xml:space="preserve">Free for citizen-scope reads (Dallas).</t>
  </si>
  <si>
    <t xml:space="preserve">ICC Code Connect API (impl. + content)</t>
  </si>
  <si>
    <t xml:space="preserve">Placeholder; ICC requires quote.</t>
  </si>
  <si>
    <t xml:space="preserve">UpCodes Pro reference seat</t>
  </si>
  <si>
    <t xml:space="preserve">$50/mo; verification only.</t>
  </si>
  <si>
    <t xml:space="preserve">Browserless / portal automation infra</t>
  </si>
  <si>
    <t xml:space="preserve">Cloud headless browsers for FM + Houston portals.</t>
  </si>
  <si>
    <t xml:space="preserve">Address normalization (Smarty/USPS)</t>
  </si>
  <si>
    <t xml:space="preserve">Dedupe addresses across vendors/cities.</t>
  </si>
  <si>
    <t xml:space="preserve">Ongoing portal-automation maintenance</t>
  </si>
  <si>
    <t xml:space="preserve">Houston ILMS especially; budget ~$250/mo.</t>
  </si>
  <si>
    <t xml:space="preserve">Subtotal — Year 1 vendor opex</t>
  </si>
  <si>
    <t xml:space="preserve">One-time hard costs</t>
  </si>
  <si>
    <t xml:space="preserve">$</t>
  </si>
  <si>
    <t xml:space="preserve">Legal review (ToS, vendor MSAs, DPAs)</t>
  </si>
  <si>
    <t xml:space="preserve">Accela, Shovels, eTRAKiT scrape, UpCodes ToS.</t>
  </si>
  <si>
    <t xml:space="preserve">Insurance bump (E&amp;O for data accuracy)</t>
  </si>
  <si>
    <t xml:space="preserve">Code-rule advice exposure.</t>
  </si>
  <si>
    <t xml:space="preserve">Pilot user incentives</t>
  </si>
  <si>
    <t xml:space="preserve">$200 × 3 friendly users (1 per city).</t>
  </si>
  <si>
    <t xml:space="preserve">ICC initial implementation fee (one-time)</t>
  </si>
  <si>
    <t xml:space="preserve">Placeholder; ICC quote needed.</t>
  </si>
  <si>
    <t xml:space="preserve">Subtotal — One-time hard costs</t>
  </si>
  <si>
    <t xml:space="preserve">Agent Hours by Wave</t>
  </si>
  <si>
    <t xml:space="preserve">Three phased waves: Dallas → Flower Mound → Houston. Schema/code/ops costs concentrate in Wave 1.</t>
  </si>
  <si>
    <t xml:space="preserve">Agent</t>
  </si>
  <si>
    <t xml:space="preserve">Total hrs</t>
  </si>
  <si>
    <t xml:space="preserve">Orchestrator (you)</t>
  </si>
  <si>
    <t xml:space="preserve">Specs, PR review, Accela / Shovels / Houston vendor calls</t>
  </si>
  <si>
    <t xml:space="preserve">Discovery Agent</t>
  </si>
  <si>
    <t xml:space="preserve">Vendor map, endpoints, portal flow, code amendments per city</t>
  </si>
  <si>
    <t xml:space="preserve">Schema Agent</t>
  </si>
  <si>
    <t xml:space="preserve">Internal model + JurisdictionAdapter interface; one-time</t>
  </si>
  <si>
    <t xml:space="preserve">Adapter Agent</t>
  </si>
  <si>
    <t xml:space="preserve">Wave 1: Accela. Wave 2: Shovels or eTRAKiT. Wave 3: ILMS portal</t>
  </si>
  <si>
    <t xml:space="preserve">Code/Rules Agent</t>
  </si>
  <si>
    <t xml:space="preserve">Wave 1 builds framework + Dallas; later waves add amendments</t>
  </si>
  <si>
    <t xml:space="preserve">QA &amp; Smoke Agent</t>
  </si>
  <si>
    <t xml:space="preserve">Per-city smoke tests, Slack alerts, dashboard</t>
  </si>
  <si>
    <t xml:space="preserve">Ops Console Agent</t>
  </si>
  <si>
    <t xml:space="preserve">Wave 1 builds admin UI; later waves extend</t>
  </si>
  <si>
    <t xml:space="preserve">TOTAL Hours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</si>
</sst>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#,##0.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7" min="4" style="0" width="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customFormat="false" ht="15" hidden="false" customHeight="false" outlineLevel="0" collapsed="false">
      <c r="B7" s="4" t="s">
        <v>9</v>
      </c>
      <c r="C7" s="5" t="n">
        <f aca="false">'Wave Hours'!C13</f>
        <v>368</v>
      </c>
      <c r="D7" s="6" t="n">
        <f aca="false">'Wave Hours'!C13*Rates!C6</f>
        <v>18400</v>
      </c>
      <c r="E7" s="6" t="n">
        <f aca="false">D7*(1+Rates!C14+Rates!C15+Rates!C16)</f>
        <v>26680</v>
      </c>
      <c r="F7" s="6" t="n">
        <f aca="false">E7*(1+Rates!C17)</f>
        <v>32016</v>
      </c>
      <c r="G7" s="7" t="n">
        <f aca="false">F7+Rates!C39*0.5</f>
        <v>35116</v>
      </c>
    </row>
    <row r="8" customFormat="false" ht="15" hidden="false" customHeight="false" outlineLevel="0" collapsed="false">
      <c r="B8" s="8" t="s">
        <v>10</v>
      </c>
      <c r="C8" s="5" t="n">
        <f aca="false">'Wave Hours'!D13</f>
        <v>160</v>
      </c>
      <c r="D8" s="6" t="n">
        <f aca="false">'Wave Hours'!D13*Rates!C6</f>
        <v>8000</v>
      </c>
      <c r="E8" s="6" t="n">
        <f aca="false">D8*(1+Rates!C14+Rates!C15+Rates!C16)</f>
        <v>11600</v>
      </c>
      <c r="F8" s="6" t="n">
        <f aca="false">E8*(1+Rates!C18)</f>
        <v>15080</v>
      </c>
      <c r="G8" s="7" t="n">
        <f aca="false">F8+Rates!C39*0.25</f>
        <v>16630</v>
      </c>
    </row>
    <row r="9" customFormat="false" ht="15" hidden="false" customHeight="false" outlineLevel="0" collapsed="false">
      <c r="B9" s="9" t="s">
        <v>11</v>
      </c>
      <c r="C9" s="5" t="n">
        <f aca="false">'Wave Hours'!E13</f>
        <v>268</v>
      </c>
      <c r="D9" s="6" t="n">
        <f aca="false">'Wave Hours'!E13*Rates!C6</f>
        <v>13400</v>
      </c>
      <c r="E9" s="6" t="n">
        <f aca="false">D9*(1+Rates!C14+Rates!C15+Rates!C16)</f>
        <v>19430</v>
      </c>
      <c r="F9" s="6" t="n">
        <f aca="false">E9*(1+Rates!C19)</f>
        <v>27202</v>
      </c>
      <c r="G9" s="7" t="n">
        <f aca="false">F9+Rates!C39*0.25</f>
        <v>28752</v>
      </c>
    </row>
    <row r="10" customFormat="false" ht="15" hidden="false" customHeight="false" outlineLevel="0" collapsed="false">
      <c r="B10" s="10" t="s">
        <v>12</v>
      </c>
      <c r="C10" s="11" t="n">
        <f aca="false">SUM(C7:C9)</f>
        <v>796</v>
      </c>
      <c r="D10" s="12" t="n">
        <f aca="false">SUM(D7:D9)</f>
        <v>39800</v>
      </c>
      <c r="E10" s="12" t="n">
        <f aca="false">SUM(E7:E9)</f>
        <v>57710</v>
      </c>
      <c r="F10" s="12" t="n">
        <f aca="false">SUM(F7:F9)</f>
        <v>74298</v>
      </c>
      <c r="G10" s="12" t="n">
        <f aca="false">SUM(G7:G9)</f>
        <v>80498</v>
      </c>
    </row>
    <row r="12" customFormat="false" ht="15" hidden="false" customHeight="false" outlineLevel="0" collapsed="false">
      <c r="B12" s="13" t="s">
        <v>13</v>
      </c>
      <c r="C12" s="14"/>
      <c r="D12" s="14"/>
      <c r="E12" s="14"/>
      <c r="F12" s="14"/>
      <c r="G12" s="14"/>
    </row>
    <row r="13" customFormat="false" ht="15" hidden="false" customHeight="false" outlineLevel="0" collapsed="false"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</row>
    <row r="14" customFormat="false" ht="15" hidden="false" customHeight="false" outlineLevel="0" collapsed="false">
      <c r="B14" s="15" t="s">
        <v>20</v>
      </c>
      <c r="C14" s="6" t="n">
        <f aca="false">Rates!C6</f>
        <v>50</v>
      </c>
      <c r="D14" s="16" t="n">
        <f aca="false">'Wave Hours'!C13*Rates!C6*(1+Rates!C14+Rates!C15+Rates!C16)*(1+Rates!C17)+Rates!C39*0.5</f>
        <v>35116</v>
      </c>
      <c r="E14" s="17" t="n">
        <f aca="false">'Wave Hours'!D13*Rates!C6*(1+Rates!C14+Rates!C15+Rates!C16)*(1+Rates!C18)+Rates!C39*0.25</f>
        <v>16630</v>
      </c>
      <c r="F14" s="18" t="n">
        <f aca="false">'Wave Hours'!E13*Rates!C6*(1+Rates!C14+Rates!C15+Rates!C16)*(1+Rates!C19)+Rates!C39*0.25</f>
        <v>28752</v>
      </c>
      <c r="G14" s="7" t="n">
        <f aca="false">D14+E14+F14</f>
        <v>80498</v>
      </c>
    </row>
    <row r="15" customFormat="false" ht="15" hidden="false" customHeight="false" outlineLevel="0" collapsed="false">
      <c r="B15" s="15" t="s">
        <v>21</v>
      </c>
      <c r="C15" s="6" t="n">
        <f aca="false">Rates!C7</f>
        <v>40</v>
      </c>
      <c r="D15" s="16" t="n">
        <f aca="false">'Wave Hours'!C13*Rates!C7*(1+Rates!C14+Rates!C15+Rates!C16)*(1+Rates!C17)+Rates!C39*0.5</f>
        <v>28712.8</v>
      </c>
      <c r="E15" s="17" t="n">
        <f aca="false">'Wave Hours'!D13*Rates!C7*(1+Rates!C14+Rates!C15+Rates!C16)*(1+Rates!C18)+Rates!C39*0.25</f>
        <v>13614</v>
      </c>
      <c r="F15" s="18" t="n">
        <f aca="false">'Wave Hours'!E13*Rates!C7*(1+Rates!C14+Rates!C15+Rates!C16)*(1+Rates!C19)+Rates!C39*0.25</f>
        <v>23311.6</v>
      </c>
      <c r="G15" s="7" t="n">
        <f aca="false">D15+E15+F15</f>
        <v>65638.4</v>
      </c>
    </row>
    <row r="16" customFormat="false" ht="15" hidden="false" customHeight="false" outlineLevel="0" collapsed="false">
      <c r="B16" s="15" t="s">
        <v>22</v>
      </c>
      <c r="C16" s="6" t="n">
        <f aca="false">Rates!C8</f>
        <v>110</v>
      </c>
      <c r="D16" s="16" t="n">
        <f aca="false">'Wave Hours'!C13*Rates!C8*(1+Rates!C14+Rates!C15+Rates!C16)*(1+Rates!C17)+Rates!C39*0.5</f>
        <v>73535.2</v>
      </c>
      <c r="E16" s="17" t="n">
        <f aca="false">'Wave Hours'!D13*Rates!C8*(1+Rates!C14+Rates!C15+Rates!C16)*(1+Rates!C18)+Rates!C39*0.25</f>
        <v>34726</v>
      </c>
      <c r="F16" s="18" t="n">
        <f aca="false">'Wave Hours'!E13*Rates!C8*(1+Rates!C14+Rates!C15+Rates!C16)*(1+Rates!C19)+Rates!C39*0.25</f>
        <v>61394.4</v>
      </c>
      <c r="G16" s="7" t="n">
        <f aca="false">D16+E16+F16</f>
        <v>169655.6</v>
      </c>
    </row>
    <row r="17" customFormat="false" ht="15" hidden="false" customHeight="false" outlineLevel="0" collapsed="false">
      <c r="B17" s="15" t="s">
        <v>23</v>
      </c>
      <c r="C17" s="6" t="n">
        <f aca="false">Rates!C9</f>
        <v>140</v>
      </c>
      <c r="D17" s="16" t="n">
        <f aca="false">'Wave Hours'!C13*Rates!C9*(1+Rates!C14+Rates!C15+Rates!C16)*(1+Rates!C17)+Rates!C39*0.5</f>
        <v>92744.8</v>
      </c>
      <c r="E17" s="17" t="n">
        <f aca="false">'Wave Hours'!D13*Rates!C9*(1+Rates!C14+Rates!C15+Rates!C16)*(1+Rates!C18)+Rates!C39*0.25</f>
        <v>43774</v>
      </c>
      <c r="F17" s="18" t="n">
        <f aca="false">'Wave Hours'!E13*Rates!C9*(1+Rates!C14+Rates!C15+Rates!C16)*(1+Rates!C19)+Rates!C39*0.25</f>
        <v>77715.6</v>
      </c>
      <c r="G17" s="7" t="n">
        <f aca="false">D17+E17+F17</f>
        <v>214234.4</v>
      </c>
    </row>
    <row r="20" customFormat="false" ht="28.35" hidden="false" customHeight="false" outlineLevel="0" collapsed="false">
      <c r="B20" s="13" t="s">
        <v>24</v>
      </c>
      <c r="C20" s="14"/>
      <c r="D20" s="14"/>
      <c r="E20" s="14"/>
      <c r="F20" s="14"/>
      <c r="G20" s="14"/>
    </row>
    <row r="21" customFormat="false" ht="15" hidden="false" customHeight="false" outlineLevel="0" collapsed="false">
      <c r="B21" s="15" t="s">
        <v>25</v>
      </c>
      <c r="D21" s="6" t="n">
        <f aca="false">G7+G8+G9</f>
        <v>80498</v>
      </c>
    </row>
    <row r="22" customFormat="false" ht="15" hidden="false" customHeight="false" outlineLevel="0" collapsed="false">
      <c r="B22" s="15" t="s">
        <v>26</v>
      </c>
      <c r="D22" s="6" t="n">
        <f aca="false">Rates!C31</f>
        <v>24288</v>
      </c>
    </row>
    <row r="23" customFormat="false" ht="15" hidden="false" customHeight="false" outlineLevel="0" collapsed="false">
      <c r="B23" s="19" t="s">
        <v>27</v>
      </c>
      <c r="C23" s="20"/>
      <c r="D23" s="7" t="n">
        <f aca="false">D21+D22</f>
        <v>104786</v>
      </c>
    </row>
    <row r="25" customFormat="false" ht="28.35" hidden="false" customHeight="false" outlineLevel="0" collapsed="false">
      <c r="B25" s="13" t="s">
        <v>28</v>
      </c>
      <c r="C25" s="14"/>
      <c r="D25" s="14"/>
      <c r="E25" s="14"/>
      <c r="F25" s="14"/>
      <c r="G25" s="14"/>
    </row>
    <row r="26" customFormat="false" ht="23.85" hidden="false" customHeight="false" outlineLevel="0" collapsed="false">
      <c r="B26" s="15" t="s">
        <v>29</v>
      </c>
      <c r="C26" s="21" t="n">
        <f aca="false">'Wave Hours'!C13/30</f>
        <v>12.2666666666667</v>
      </c>
      <c r="D26" s="15" t="s">
        <v>30</v>
      </c>
    </row>
    <row r="27" customFormat="false" ht="23.85" hidden="false" customHeight="false" outlineLevel="0" collapsed="false">
      <c r="B27" s="15" t="s">
        <v>10</v>
      </c>
      <c r="C27" s="21" t="n">
        <f aca="false">'Wave Hours'!D13/30</f>
        <v>5.33333333333333</v>
      </c>
      <c r="D27" s="15" t="s">
        <v>31</v>
      </c>
    </row>
    <row r="28" customFormat="false" ht="23.85" hidden="false" customHeight="false" outlineLevel="0" collapsed="false">
      <c r="B28" s="15" t="s">
        <v>32</v>
      </c>
      <c r="C28" s="21" t="n">
        <f aca="false">'Wave Hours'!E13/30</f>
        <v>8.93333333333333</v>
      </c>
      <c r="D28" s="15" t="s">
        <v>33</v>
      </c>
    </row>
    <row r="30" customFormat="false" ht="28.35" hidden="false" customHeight="false" outlineLevel="0" collapsed="false">
      <c r="B30" s="13" t="s">
        <v>34</v>
      </c>
      <c r="C30" s="14"/>
      <c r="D30" s="14"/>
      <c r="E30" s="14"/>
      <c r="F30" s="14"/>
      <c r="G30" s="14"/>
    </row>
    <row r="31" customFormat="false" ht="15" hidden="false" customHeight="false" outlineLevel="0" collapsed="false">
      <c r="B31" s="3" t="s">
        <v>35</v>
      </c>
      <c r="C31" s="3" t="s">
        <v>36</v>
      </c>
      <c r="D31" s="3" t="s">
        <v>37</v>
      </c>
      <c r="E31" s="3" t="s">
        <v>38</v>
      </c>
      <c r="F31" s="3" t="s">
        <v>39</v>
      </c>
      <c r="G31" s="3"/>
    </row>
    <row r="32" customFormat="false" ht="23.85" hidden="false" customHeight="true" outlineLevel="0" collapsed="false">
      <c r="B32" s="15" t="s">
        <v>40</v>
      </c>
      <c r="C32" s="5" t="n">
        <v>5</v>
      </c>
      <c r="D32" s="5" t="n">
        <v>32</v>
      </c>
      <c r="E32" s="6" t="n">
        <f aca="false">C32*D32*Rates!C6</f>
        <v>8000</v>
      </c>
      <c r="F32" s="22" t="s">
        <v>41</v>
      </c>
      <c r="G32" s="22"/>
    </row>
    <row r="33" customFormat="false" ht="15" hidden="false" customHeight="true" outlineLevel="0" collapsed="false">
      <c r="B33" s="15" t="s">
        <v>42</v>
      </c>
      <c r="C33" s="5" t="n">
        <v>5</v>
      </c>
      <c r="D33" s="5" t="n">
        <v>40</v>
      </c>
      <c r="E33" s="6" t="n">
        <f aca="false">C33*D33*Rates!C6</f>
        <v>10000</v>
      </c>
      <c r="F33" s="22" t="s">
        <v>43</v>
      </c>
      <c r="G33" s="22"/>
    </row>
    <row r="34" customFormat="false" ht="15" hidden="false" customHeight="true" outlineLevel="0" collapsed="false">
      <c r="B34" s="15" t="s">
        <v>44</v>
      </c>
      <c r="C34" s="5" t="n">
        <v>3</v>
      </c>
      <c r="D34" s="5" t="n">
        <v>100</v>
      </c>
      <c r="E34" s="6" t="n">
        <f aca="false">C34*D34*Rates!C6</f>
        <v>15000</v>
      </c>
      <c r="F34" s="22" t="s">
        <v>45</v>
      </c>
      <c r="G34" s="22"/>
    </row>
    <row r="35" customFormat="false" ht="15" hidden="false" customHeight="true" outlineLevel="0" collapsed="false">
      <c r="B35" s="15" t="s">
        <v>46</v>
      </c>
      <c r="C35" s="5" t="n">
        <v>3</v>
      </c>
      <c r="D35" s="5" t="n">
        <v>120</v>
      </c>
      <c r="E35" s="6" t="n">
        <f aca="false">C35*D35*Rates!C6</f>
        <v>18000</v>
      </c>
      <c r="F35" s="22" t="s">
        <v>47</v>
      </c>
      <c r="G35" s="22"/>
    </row>
    <row r="38" customFormat="false" ht="15" hidden="false" customHeight="false" outlineLevel="0" collapsed="false">
      <c r="B38" s="13" t="s">
        <v>48</v>
      </c>
      <c r="C38" s="14"/>
      <c r="D38" s="14"/>
      <c r="E38" s="14"/>
      <c r="F38" s="14"/>
      <c r="G38" s="14"/>
    </row>
    <row r="39" customFormat="false" ht="23.85" hidden="false" customHeight="true" outlineLevel="0" collapsed="false">
      <c r="B39" s="23" t="s">
        <v>29</v>
      </c>
      <c r="C39" s="22" t="s">
        <v>49</v>
      </c>
      <c r="D39" s="22"/>
      <c r="E39" s="22"/>
      <c r="F39" s="22"/>
      <c r="G39" s="22"/>
    </row>
    <row r="40" customFormat="false" ht="15" hidden="false" customHeight="true" outlineLevel="0" collapsed="false">
      <c r="B40" s="23" t="s">
        <v>10</v>
      </c>
      <c r="C40" s="22" t="s">
        <v>50</v>
      </c>
      <c r="D40" s="22"/>
      <c r="E40" s="22"/>
      <c r="F40" s="22"/>
      <c r="G40" s="22"/>
    </row>
    <row r="41" customFormat="false" ht="23.85" hidden="false" customHeight="true" outlineLevel="0" collapsed="false">
      <c r="B41" s="23" t="s">
        <v>32</v>
      </c>
      <c r="C41" s="22" t="s">
        <v>51</v>
      </c>
      <c r="D41" s="22"/>
      <c r="E41" s="22"/>
      <c r="F41" s="22"/>
      <c r="G41" s="22"/>
    </row>
    <row r="42" customFormat="false" ht="15" hidden="false" customHeight="true" outlineLevel="0" collapsed="false">
      <c r="B42" s="23" t="s">
        <v>52</v>
      </c>
      <c r="C42" s="22" t="s">
        <v>53</v>
      </c>
      <c r="D42" s="22"/>
      <c r="E42" s="22"/>
      <c r="F42" s="22"/>
      <c r="G42" s="22"/>
    </row>
    <row r="43" customFormat="false" ht="15" hidden="false" customHeight="true" outlineLevel="0" collapsed="false">
      <c r="B43" s="23" t="s">
        <v>54</v>
      </c>
      <c r="C43" s="22" t="s">
        <v>55</v>
      </c>
      <c r="D43" s="22"/>
      <c r="E43" s="22"/>
      <c r="F43" s="22"/>
      <c r="G43" s="22"/>
    </row>
    <row r="44" customFormat="false" ht="15" hidden="false" customHeight="true" outlineLevel="0" collapsed="false">
      <c r="B44" s="23" t="s">
        <v>56</v>
      </c>
      <c r="C44" s="22" t="s">
        <v>57</v>
      </c>
      <c r="D44" s="22"/>
      <c r="E44" s="22"/>
      <c r="F44" s="22"/>
      <c r="G44" s="22"/>
    </row>
  </sheetData>
  <mergeCells count="10">
    <mergeCell ref="F32:G32"/>
    <mergeCell ref="F33:G33"/>
    <mergeCell ref="F34:G34"/>
    <mergeCell ref="F35:G35"/>
    <mergeCell ref="C39:G39"/>
    <mergeCell ref="C40:G40"/>
    <mergeCell ref="C41:G41"/>
    <mergeCell ref="C42:G42"/>
    <mergeCell ref="C43:G43"/>
    <mergeCell ref="C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58</v>
      </c>
    </row>
    <row r="3" customFormat="false" ht="15" hidden="false" customHeight="false" outlineLevel="0" collapsed="false">
      <c r="B3" s="2" t="s">
        <v>59</v>
      </c>
    </row>
    <row r="5" customFormat="false" ht="15" hidden="false" customHeight="false" outlineLevel="0" collapsed="false">
      <c r="B5" s="3" t="s">
        <v>14</v>
      </c>
      <c r="C5" s="3" t="s">
        <v>60</v>
      </c>
      <c r="D5" s="3" t="s">
        <v>39</v>
      </c>
    </row>
    <row r="6" customFormat="false" ht="15" hidden="false" customHeight="false" outlineLevel="0" collapsed="false">
      <c r="B6" s="15" t="s">
        <v>61</v>
      </c>
      <c r="C6" s="6" t="n">
        <v>50</v>
      </c>
      <c r="D6" s="15" t="s">
        <v>62</v>
      </c>
    </row>
    <row r="7" customFormat="false" ht="15" hidden="false" customHeight="false" outlineLevel="0" collapsed="false">
      <c r="B7" s="15" t="s">
        <v>21</v>
      </c>
      <c r="C7" s="6" t="n">
        <v>40</v>
      </c>
      <c r="D7" s="15" t="s">
        <v>63</v>
      </c>
    </row>
    <row r="8" customFormat="false" ht="15" hidden="false" customHeight="false" outlineLevel="0" collapsed="false">
      <c r="B8" s="15" t="s">
        <v>22</v>
      </c>
      <c r="C8" s="6" t="n">
        <v>110</v>
      </c>
      <c r="D8" s="15" t="s">
        <v>64</v>
      </c>
    </row>
    <row r="9" customFormat="false" ht="15" hidden="false" customHeight="false" outlineLevel="0" collapsed="false">
      <c r="B9" s="15" t="s">
        <v>23</v>
      </c>
      <c r="C9" s="6" t="n">
        <v>140</v>
      </c>
      <c r="D9" s="15" t="s">
        <v>65</v>
      </c>
    </row>
    <row r="12" customFormat="false" ht="15" hidden="false" customHeight="false" outlineLevel="0" collapsed="false">
      <c r="B12" s="24" t="s">
        <v>66</v>
      </c>
      <c r="C12" s="25"/>
      <c r="D12" s="25"/>
    </row>
    <row r="13" customFormat="false" ht="15" hidden="false" customHeight="false" outlineLevel="0" collapsed="false">
      <c r="B13" s="3" t="s">
        <v>67</v>
      </c>
      <c r="C13" s="3" t="s">
        <v>68</v>
      </c>
      <c r="D13" s="3" t="s">
        <v>39</v>
      </c>
    </row>
    <row r="14" customFormat="false" ht="15" hidden="false" customHeight="false" outlineLevel="0" collapsed="false">
      <c r="B14" s="15" t="s">
        <v>69</v>
      </c>
      <c r="C14" s="26" t="n">
        <v>0.1</v>
      </c>
      <c r="D14" s="15" t="s">
        <v>70</v>
      </c>
    </row>
    <row r="15" customFormat="false" ht="15" hidden="false" customHeight="false" outlineLevel="0" collapsed="false">
      <c r="B15" s="15" t="s">
        <v>71</v>
      </c>
      <c r="C15" s="26" t="n">
        <v>0.25</v>
      </c>
      <c r="D15" s="15" t="s">
        <v>72</v>
      </c>
    </row>
    <row r="16" customFormat="false" ht="15" hidden="false" customHeight="false" outlineLevel="0" collapsed="false">
      <c r="B16" s="15" t="s">
        <v>73</v>
      </c>
      <c r="C16" s="26" t="n">
        <v>0.1</v>
      </c>
      <c r="D16" s="15" t="s">
        <v>74</v>
      </c>
    </row>
    <row r="17" customFormat="false" ht="15" hidden="false" customHeight="false" outlineLevel="0" collapsed="false">
      <c r="B17" s="15" t="s">
        <v>75</v>
      </c>
      <c r="C17" s="26" t="n">
        <v>0.2</v>
      </c>
      <c r="D17" s="15" t="s">
        <v>76</v>
      </c>
    </row>
    <row r="18" customFormat="false" ht="15" hidden="false" customHeight="false" outlineLevel="0" collapsed="false">
      <c r="B18" s="15" t="s">
        <v>77</v>
      </c>
      <c r="C18" s="26" t="n">
        <v>0.3</v>
      </c>
      <c r="D18" s="15" t="s">
        <v>78</v>
      </c>
    </row>
    <row r="19" customFormat="false" ht="15" hidden="false" customHeight="false" outlineLevel="0" collapsed="false">
      <c r="B19" s="15" t="s">
        <v>79</v>
      </c>
      <c r="C19" s="26" t="n">
        <v>0.4</v>
      </c>
      <c r="D19" s="15" t="s">
        <v>80</v>
      </c>
    </row>
    <row r="22" customFormat="false" ht="15" hidden="false" customHeight="false" outlineLevel="0" collapsed="false">
      <c r="B22" s="24" t="s">
        <v>81</v>
      </c>
      <c r="C22" s="25"/>
      <c r="D22" s="25"/>
    </row>
    <row r="23" customFormat="false" ht="15" hidden="false" customHeight="false" outlineLevel="0" collapsed="false">
      <c r="B23" s="3" t="s">
        <v>82</v>
      </c>
      <c r="C23" s="3" t="s">
        <v>83</v>
      </c>
      <c r="D23" s="3" t="s">
        <v>39</v>
      </c>
    </row>
    <row r="24" customFormat="false" ht="15" hidden="false" customHeight="false" outlineLevel="0" collapsed="false">
      <c r="B24" s="15" t="s">
        <v>84</v>
      </c>
      <c r="C24" s="6" t="n">
        <v>7188</v>
      </c>
      <c r="D24" s="15" t="s">
        <v>85</v>
      </c>
    </row>
    <row r="25" customFormat="false" ht="15" hidden="false" customHeight="false" outlineLevel="0" collapsed="false">
      <c r="B25" s="15" t="s">
        <v>86</v>
      </c>
      <c r="C25" s="6" t="n">
        <v>0</v>
      </c>
      <c r="D25" s="15" t="s">
        <v>87</v>
      </c>
    </row>
    <row r="26" customFormat="false" ht="15" hidden="false" customHeight="false" outlineLevel="0" collapsed="false">
      <c r="B26" s="15" t="s">
        <v>88</v>
      </c>
      <c r="C26" s="6" t="n">
        <v>12000</v>
      </c>
      <c r="D26" s="15" t="s">
        <v>89</v>
      </c>
    </row>
    <row r="27" customFormat="false" ht="15" hidden="false" customHeight="false" outlineLevel="0" collapsed="false">
      <c r="B27" s="15" t="s">
        <v>90</v>
      </c>
      <c r="C27" s="6" t="n">
        <v>600</v>
      </c>
      <c r="D27" s="15" t="s">
        <v>91</v>
      </c>
    </row>
    <row r="28" customFormat="false" ht="15" hidden="false" customHeight="false" outlineLevel="0" collapsed="false">
      <c r="B28" s="15" t="s">
        <v>92</v>
      </c>
      <c r="C28" s="6" t="n">
        <v>900</v>
      </c>
      <c r="D28" s="15" t="s">
        <v>93</v>
      </c>
    </row>
    <row r="29" customFormat="false" ht="15" hidden="false" customHeight="false" outlineLevel="0" collapsed="false">
      <c r="B29" s="15" t="s">
        <v>94</v>
      </c>
      <c r="C29" s="6" t="n">
        <v>600</v>
      </c>
      <c r="D29" s="15" t="s">
        <v>95</v>
      </c>
    </row>
    <row r="30" customFormat="false" ht="15" hidden="false" customHeight="false" outlineLevel="0" collapsed="false">
      <c r="B30" s="15" t="s">
        <v>96</v>
      </c>
      <c r="C30" s="6" t="n">
        <v>3000</v>
      </c>
      <c r="D30" s="15" t="s">
        <v>97</v>
      </c>
    </row>
    <row r="31" customFormat="false" ht="15" hidden="false" customHeight="false" outlineLevel="0" collapsed="false">
      <c r="B31" s="19" t="s">
        <v>98</v>
      </c>
      <c r="C31" s="7" t="n">
        <f aca="false">SUM(C24:C30)</f>
        <v>24288</v>
      </c>
      <c r="D31" s="20"/>
    </row>
    <row r="33" customFormat="false" ht="15" hidden="false" customHeight="false" outlineLevel="0" collapsed="false">
      <c r="B33" s="24" t="s">
        <v>99</v>
      </c>
      <c r="C33" s="25"/>
      <c r="D33" s="25"/>
    </row>
    <row r="34" customFormat="false" ht="15" hidden="false" customHeight="false" outlineLevel="0" collapsed="false">
      <c r="B34" s="3" t="s">
        <v>67</v>
      </c>
      <c r="C34" s="3" t="s">
        <v>100</v>
      </c>
      <c r="D34" s="3" t="s">
        <v>39</v>
      </c>
    </row>
    <row r="35" customFormat="false" ht="15" hidden="false" customHeight="false" outlineLevel="0" collapsed="false">
      <c r="B35" s="15" t="s">
        <v>101</v>
      </c>
      <c r="C35" s="6" t="n">
        <v>1800</v>
      </c>
      <c r="D35" s="15" t="s">
        <v>102</v>
      </c>
    </row>
    <row r="36" customFormat="false" ht="15" hidden="false" customHeight="false" outlineLevel="0" collapsed="false">
      <c r="B36" s="15" t="s">
        <v>103</v>
      </c>
      <c r="C36" s="6" t="n">
        <v>800</v>
      </c>
      <c r="D36" s="15" t="s">
        <v>104</v>
      </c>
    </row>
    <row r="37" customFormat="false" ht="15" hidden="false" customHeight="false" outlineLevel="0" collapsed="false">
      <c r="B37" s="15" t="s">
        <v>105</v>
      </c>
      <c r="C37" s="6" t="n">
        <v>600</v>
      </c>
      <c r="D37" s="15" t="s">
        <v>106</v>
      </c>
    </row>
    <row r="38" customFormat="false" ht="15" hidden="false" customHeight="false" outlineLevel="0" collapsed="false">
      <c r="B38" s="15" t="s">
        <v>107</v>
      </c>
      <c r="C38" s="6" t="n">
        <v>3000</v>
      </c>
      <c r="D38" s="15" t="s">
        <v>108</v>
      </c>
    </row>
    <row r="39" customFormat="false" ht="15" hidden="false" customHeight="false" outlineLevel="0" collapsed="false">
      <c r="B39" s="19" t="s">
        <v>109</v>
      </c>
      <c r="C39" s="7" t="n">
        <f aca="false">SUM(C35:C38)</f>
        <v>6200</v>
      </c>
      <c r="D3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40"/>
  </cols>
  <sheetData>
    <row r="2" customFormat="false" ht="17.35" hidden="false" customHeight="false" outlineLevel="0" collapsed="false">
      <c r="B2" s="1" t="s">
        <v>110</v>
      </c>
    </row>
    <row r="3" customFormat="false" ht="15" hidden="false" customHeight="false" outlineLevel="0" collapsed="false">
      <c r="B3" s="2" t="s">
        <v>111</v>
      </c>
    </row>
    <row r="5" customFormat="false" ht="15" hidden="false" customHeight="false" outlineLevel="0" collapsed="false">
      <c r="B5" s="3" t="s">
        <v>112</v>
      </c>
      <c r="C5" s="3" t="s">
        <v>29</v>
      </c>
      <c r="D5" s="3" t="s">
        <v>10</v>
      </c>
      <c r="E5" s="3" t="s">
        <v>32</v>
      </c>
      <c r="F5" s="3" t="s">
        <v>113</v>
      </c>
      <c r="G5" s="3" t="s">
        <v>39</v>
      </c>
    </row>
    <row r="6" customFormat="false" ht="23.85" hidden="false" customHeight="false" outlineLevel="0" collapsed="false">
      <c r="B6" s="23" t="s">
        <v>114</v>
      </c>
      <c r="C6" s="27" t="n">
        <v>32</v>
      </c>
      <c r="D6" s="28" t="n">
        <v>16</v>
      </c>
      <c r="E6" s="29" t="n">
        <v>24</v>
      </c>
      <c r="F6" s="30" t="n">
        <f aca="false">C6+D6+E6</f>
        <v>72</v>
      </c>
      <c r="G6" s="15" t="s">
        <v>115</v>
      </c>
    </row>
    <row r="7" customFormat="false" ht="23.85" hidden="false" customHeight="false" outlineLevel="0" collapsed="false">
      <c r="B7" s="23" t="s">
        <v>116</v>
      </c>
      <c r="C7" s="27" t="n">
        <v>32</v>
      </c>
      <c r="D7" s="28" t="n">
        <v>24</v>
      </c>
      <c r="E7" s="29" t="n">
        <v>40</v>
      </c>
      <c r="F7" s="30" t="n">
        <f aca="false">C7+D7+E7</f>
        <v>96</v>
      </c>
      <c r="G7" s="15" t="s">
        <v>117</v>
      </c>
    </row>
    <row r="8" customFormat="false" ht="23.85" hidden="false" customHeight="false" outlineLevel="0" collapsed="false">
      <c r="B8" s="23" t="s">
        <v>118</v>
      </c>
      <c r="C8" s="27" t="n">
        <v>56</v>
      </c>
      <c r="D8" s="28" t="n">
        <v>0</v>
      </c>
      <c r="E8" s="29" t="n">
        <v>0</v>
      </c>
      <c r="F8" s="30" t="n">
        <f aca="false">C8+D8+E8</f>
        <v>56</v>
      </c>
      <c r="G8" s="15" t="s">
        <v>119</v>
      </c>
    </row>
    <row r="9" customFormat="false" ht="23.85" hidden="false" customHeight="false" outlineLevel="0" collapsed="false">
      <c r="B9" s="23" t="s">
        <v>120</v>
      </c>
      <c r="C9" s="27" t="n">
        <v>96</v>
      </c>
      <c r="D9" s="28" t="n">
        <v>64</v>
      </c>
      <c r="E9" s="29" t="n">
        <v>120</v>
      </c>
      <c r="F9" s="30" t="n">
        <f aca="false">C9+D9+E9</f>
        <v>280</v>
      </c>
      <c r="G9" s="15" t="s">
        <v>121</v>
      </c>
    </row>
    <row r="10" customFormat="false" ht="23.85" hidden="false" customHeight="false" outlineLevel="0" collapsed="false">
      <c r="B10" s="23" t="s">
        <v>122</v>
      </c>
      <c r="C10" s="27" t="n">
        <v>80</v>
      </c>
      <c r="D10" s="28" t="n">
        <v>32</v>
      </c>
      <c r="E10" s="29" t="n">
        <v>48</v>
      </c>
      <c r="F10" s="30" t="n">
        <f aca="false">C10+D10+E10</f>
        <v>160</v>
      </c>
      <c r="G10" s="15" t="s">
        <v>123</v>
      </c>
    </row>
    <row r="11" customFormat="false" ht="15" hidden="false" customHeight="false" outlineLevel="0" collapsed="false">
      <c r="B11" s="23" t="s">
        <v>124</v>
      </c>
      <c r="C11" s="27" t="n">
        <v>24</v>
      </c>
      <c r="D11" s="28" t="n">
        <v>16</v>
      </c>
      <c r="E11" s="29" t="n">
        <v>24</v>
      </c>
      <c r="F11" s="30" t="n">
        <f aca="false">C11+D11+E11</f>
        <v>64</v>
      </c>
      <c r="G11" s="15" t="s">
        <v>125</v>
      </c>
    </row>
    <row r="12" customFormat="false" ht="15" hidden="false" customHeight="false" outlineLevel="0" collapsed="false">
      <c r="B12" s="23" t="s">
        <v>126</v>
      </c>
      <c r="C12" s="27" t="n">
        <v>48</v>
      </c>
      <c r="D12" s="28" t="n">
        <v>8</v>
      </c>
      <c r="E12" s="29" t="n">
        <v>12</v>
      </c>
      <c r="F12" s="30" t="n">
        <f aca="false">C12+D12+E12</f>
        <v>68</v>
      </c>
      <c r="G12" s="15" t="s">
        <v>127</v>
      </c>
    </row>
    <row r="13" customFormat="false" ht="15" hidden="false" customHeight="false" outlineLevel="0" collapsed="false">
      <c r="B13" s="19" t="s">
        <v>128</v>
      </c>
      <c r="C13" s="31" t="n">
        <f aca="false">SUM(C6:C12)</f>
        <v>368</v>
      </c>
      <c r="D13" s="31" t="n">
        <f aca="false">SUM(D6:D12)</f>
        <v>160</v>
      </c>
      <c r="E13" s="31" t="n">
        <f aca="false">SUM(E6:E12)</f>
        <v>268</v>
      </c>
      <c r="F13" s="31" t="n">
        <f aca="false">SUM(F6:F12)</f>
        <v>796</v>
      </c>
      <c r="G13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2026-06-03T19:51:12Z</dcterms:created>
  <dc:creator>openpyxl</dc:creator>
  <dc:description/>
  <dc:language>en-US</dc:language>
  <cp:lastModifiedBy/>
  <dcterms:modified xsi:type="dcterms:W3CDTF">2026-06-03T19:51:12Z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