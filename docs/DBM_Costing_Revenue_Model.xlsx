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Costing" sheetId="3" state="visible" r:id="rId5"/>
    <sheet name="Revenue" sheetId="4" state="visible" r:id="rId6"/>
    <sheet name="Net Margin" sheetId="5" state="visible" r:id="rId7"/>
    <sheet name="Appendix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<sst xmlns="http://schemas.openxmlformats.org/spreadsheetml/2006/main" count="360" uniqueCount="201">
  <si>
    <t xml:space="preserve">DBM Portal — Cost vs Revenue Snapshot</t>
  </si>
  <si>
    <t xml:space="preserve">Steady-state at full Phase 7. Monthly USD. Build cost excluded; future city integration noted below.</t>
  </si>
  <si>
    <t xml:space="preserve">Tier</t>
  </si>
  <si>
    <t xml:space="preserve">Monthly Cost</t>
  </si>
  <si>
    <t xml:space="preserve">Monthly Revenue</t>
  </si>
  <si>
    <t xml:space="preserve">Net Monthly</t>
  </si>
  <si>
    <t xml:space="preserve">Net Annual</t>
  </si>
  <si>
    <t xml:space="preserve">Margin %</t>
  </si>
  <si>
    <t xml:space="preserve">A. Pilot (30 MAU)</t>
  </si>
  <si>
    <t xml:space="preserve">B. Small (500 MAU)</t>
  </si>
  <si>
    <t xml:space="preserve">C. Medium (4K MAU)</t>
  </si>
  <si>
    <t xml:space="preserve">D. Large (20K MAU)</t>
  </si>
  <si>
    <t xml:space="preserve">E. Viral (100K MAU)</t>
  </si>
  <si>
    <t xml:space="preserve">Revenue Streams</t>
  </si>
  <si>
    <t xml:space="preserve">Subscription ($100/pro/mo)</t>
  </si>
  <si>
    <t xml:space="preserve">Paying pros pay monthly. Active P3+ (once compare/finalize delivers value).</t>
  </si>
  <si>
    <t xml:space="preserve">Transaction take rate (4%)</t>
  </si>
  <si>
    <t xml:space="preserve">4% of signed contract value. Active P4+ (e-sign live).</t>
  </si>
  <si>
    <t xml:space="preserve">Lead fees ($25/qualified lead)</t>
  </si>
  <si>
    <t xml:space="preserve">Charged per qualified lead delivered. Active P2+.</t>
  </si>
  <si>
    <t xml:space="preserve">Future Scope (not costed)</t>
  </si>
  <si>
    <t xml:space="preserve">City permit &amp; building rules</t>
  </si>
  <si>
    <t xml:space="preserve">Planned integration with municipal APIs for permit/license lookup and building-code rules. Adds per-city onboarding cost + possible API fees. Excluded from this model.</t>
  </si>
  <si>
    <t xml:space="preserve">Build / one-time engineering</t>
  </si>
  <si>
    <t xml:space="preserve">Build cost, headcount, marketing, Stripe Connect passthrough fees, and taxes are all excluded per request.</t>
  </si>
  <si>
    <t xml:space="preserve">DBM Portal — Subscription Costing &amp; Revenue Model</t>
  </si>
  <si>
    <t xml:space="preserve">Date: 2026-06-03  |  Hosting cost = optimized Claude, Render baseline, headcount excluded</t>
  </si>
  <si>
    <t xml:space="preserve">Customer Tier Assumptions</t>
  </si>
  <si>
    <t xml:space="preserve">Metric</t>
  </si>
  <si>
    <t xml:space="preserve">A. Pilot</t>
  </si>
  <si>
    <t xml:space="preserve">B. Small</t>
  </si>
  <si>
    <t xml:space="preserve">C. Medium</t>
  </si>
  <si>
    <t xml:space="preserve">D. Large</t>
  </si>
  <si>
    <t xml:space="preserve">E. Viral</t>
  </si>
  <si>
    <t xml:space="preserve">Total registered users</t>
  </si>
  <si>
    <t xml:space="preserve">Monthly active users (MAU)</t>
  </si>
  <si>
    <t xml:space="preserve">Paying pros (subscription)</t>
  </si>
  <si>
    <t xml:space="preserve">Contracts brokered / month</t>
  </si>
  <si>
    <t xml:space="preserve">Avg contract value ($)</t>
  </si>
  <si>
    <t xml:space="preserve">Qualified leads delivered / mo</t>
  </si>
  <si>
    <t xml:space="preserve">Revenue Model Assumptions</t>
  </si>
  <si>
    <t xml:space="preserve">Subscription price per paying pro / month ($)</t>
  </si>
  <si>
    <t xml:space="preserve">Transaction take rate on contracts (%)</t>
  </si>
  <si>
    <t xml:space="preserve">Lead fee per qualified lead ($)</t>
  </si>
  <si>
    <t xml:space="preserve">Homeowner price (free)</t>
  </si>
  <si>
    <t xml:space="preserve">Excluded from this model</t>
  </si>
  <si>
    <t xml:space="preserve">• Build / one-time engineering cost (per user request)</t>
  </si>
  <si>
    <t xml:space="preserve">Phase definitions (per DBM-website-app-development.xlsx)</t>
  </si>
  <si>
    <t xml:space="preserve">P1</t>
  </si>
  <si>
    <t xml:space="preserve">Find the required contact (search, directory, profiles)</t>
  </si>
  <si>
    <t xml:space="preserve">P2</t>
  </si>
  <si>
    <t xml:space="preserve">Get bids (bid forms, scope upload, AI scan)</t>
  </si>
  <si>
    <t xml:space="preserve">P3</t>
  </si>
  <si>
    <t xml:space="preserve">Compare and finalize bids (comparison tools, normalization)</t>
  </si>
  <si>
    <t xml:space="preserve">P4</t>
  </si>
  <si>
    <t xml:space="preserve">Sign Contract / Agreement (e-sign, autofill, legal docs)</t>
  </si>
  <si>
    <t xml:space="preserve">P5</t>
  </si>
  <si>
    <t xml:space="preserve">Execute Contract (schedule, budget, RFI, payments, progress)</t>
  </si>
  <si>
    <t xml:space="preserve">P6</t>
  </si>
  <si>
    <t xml:space="preserve">Close Contract (punchlists, lien releases)</t>
  </si>
  <si>
    <t xml:space="preserve">P7</t>
  </si>
  <si>
    <t xml:space="preserve">Reviews / testimonials / lessons learnt</t>
  </si>
  <si>
    <t xml:space="preserve">Hosting + Operating Cost — Monthly USD</t>
  </si>
  <si>
    <t xml:space="preserve">Cumulative cost if you've shipped through that phase. Optimized Claude. Build cost excluded.</t>
  </si>
  <si>
    <t xml:space="preserve">Customer Tier</t>
  </si>
  <si>
    <t xml:space="preserve">Annualized (×12)</t>
  </si>
  <si>
    <t xml:space="preserve">Cost per MAU / month</t>
  </si>
  <si>
    <t xml:space="preserve">Revenue Model — Monthly USD by Tier × Phase</t>
  </si>
  <si>
    <t xml:space="preserve">Three streams: Subscription (P3+), Transaction take rate (P4+), Lead fees (P2+). Build cost excluded.</t>
  </si>
  <si>
    <t xml:space="preserve">1. Subscription Revenue ($/mo)</t>
  </si>
  <si>
    <t xml:space="preserve">2. Transaction Take Rate ($/mo)</t>
  </si>
  <si>
    <t xml:space="preserve">3. Lead Fee Revenue ($/mo)</t>
  </si>
  <si>
    <t xml:space="preserve">TOTAL Monthly Revenue ($/mo)</t>
  </si>
  <si>
    <t xml:space="preserve">Annualized Total Revenue ($/yr)</t>
  </si>
  <si>
    <t xml:space="preserve">Phase activation rules</t>
  </si>
  <si>
    <t xml:space="preserve">Lead fees: P2+ | Subscription: P3+ | Take rate: P4+</t>
  </si>
  <si>
    <t xml:space="preserve">Net Monthly Margin — Revenue minus Hosting Cost</t>
  </si>
  <si>
    <t xml:space="preserve">Green = profitable, Red = subsidizing. Excludes build cost, headcount, marketing.</t>
  </si>
  <si>
    <t xml:space="preserve">Net Monthly ($/mo)</t>
  </si>
  <si>
    <t xml:space="preserve">Gross Margin % (Net / Revenue)</t>
  </si>
  <si>
    <t xml:space="preserve">Annualized Net ($/yr)</t>
  </si>
  <si>
    <t xml:space="preserve">Appendix — Abbreviations &amp; Glossary</t>
  </si>
  <si>
    <t xml:space="preserve">All acronyms, codes, and shorthand used across the Assumptions, Costing, Revenue, Net Margin, and Summary sheets.</t>
  </si>
  <si>
    <t xml:space="preserve">Phases (per DBM-website-app-development roadmap)</t>
  </si>
  <si>
    <t xml:space="preserve">Abbreviation</t>
  </si>
  <si>
    <t xml:space="preserve">Full term</t>
  </si>
  <si>
    <t xml:space="preserve">Meaning in this workbook</t>
  </si>
  <si>
    <t xml:space="preserve">Phase 1 — Find</t>
  </si>
  <si>
    <t xml:space="preserve">Find the required contact: search, directory, profile.</t>
  </si>
  <si>
    <t xml:space="preserve">Phase 2 — Get Bids</t>
  </si>
  <si>
    <t xml:space="preserve">Bid forms, scope upload, AI scan of plans/specs.</t>
  </si>
  <si>
    <t xml:space="preserve">Phase 3 — Compare</t>
  </si>
  <si>
    <t xml:space="preserve">Compare and finalize bids (side-by-side, negotiation).</t>
  </si>
  <si>
    <t xml:space="preserve">Phase 4 — Sign</t>
  </si>
  <si>
    <t xml:space="preserve">Sign Contract / Agreement (e-sign, DocuSign).</t>
  </si>
  <si>
    <t xml:space="preserve">Phase 5 — Execute</t>
  </si>
  <si>
    <t xml:space="preserve">Execute Contract: schedule, budget, RFI, payments, progress. Heaviest infra phase.</t>
  </si>
  <si>
    <t xml:space="preserve">Phase 6 — Close</t>
  </si>
  <si>
    <t xml:space="preserve">Close Contract: punchlists, lien releases, final payment.</t>
  </si>
  <si>
    <t xml:space="preserve">Phase 7 — Review</t>
  </si>
  <si>
    <t xml:space="preserve">Reviews / testimonials / lessons learnt.</t>
  </si>
  <si>
    <t xml:space="preserve">Customer tiers (rough load buckets)</t>
  </si>
  <si>
    <t xml:space="preserve">Pilot — 30 MAU</t>
  </si>
  <si>
    <t xml:space="preserve">Early design partners / beta. ~50 registered users, 5 paying pros.</t>
  </si>
  <si>
    <t xml:space="preserve">Small — 500 MAU</t>
  </si>
  <si>
    <t xml:space="preserve">First paying market. ~1K registered, 80 paying pros, 40 contracts/mo.</t>
  </si>
  <si>
    <t xml:space="preserve">Medium — 4K MAU</t>
  </si>
  <si>
    <t xml:space="preserve">Regional traction. ~10K registered, 600 paying pros, 400 contracts/mo.</t>
  </si>
  <si>
    <t xml:space="preserve">Large — 20K MAU</t>
  </si>
  <si>
    <t xml:space="preserve">Multi-region scale. ~50K registered, 3K paying pros, 2K contracts/mo.</t>
  </si>
  <si>
    <t xml:space="preserve">Viral — 100K MAU</t>
  </si>
  <si>
    <t xml:space="preserve">National scale. ~250K registered, 14K paying pros, 10K contracts/mo.</t>
  </si>
  <si>
    <t xml:space="preserve">Metrics &amp; units</t>
  </si>
  <si>
    <t xml:space="preserve">MAU</t>
  </si>
  <si>
    <t xml:space="preserve">Monthly Active Users</t>
  </si>
  <si>
    <t xml:space="preserve">Distinct users with at least one session in the month. Drives most variable cost.</t>
  </si>
  <si>
    <t xml:space="preserve">Paying pros</t>
  </si>
  <si>
    <t xml:space="preserve">Paying professionals</t>
  </si>
  <si>
    <t xml:space="preserve">Contractors / pros on a paid subscription ($100/mo). Subset of MAU.</t>
  </si>
  <si>
    <t xml:space="preserve">Contract</t>
  </si>
  <si>
    <t xml:space="preserve">Brokered contract</t>
  </si>
  <si>
    <t xml:space="preserve">Signed agreement between homeowner and pro. Take-rate applies to contract value.</t>
  </si>
  <si>
    <t xml:space="preserve">Lead</t>
  </si>
  <si>
    <t xml:space="preserve">Qualified lead</t>
  </si>
  <si>
    <t xml:space="preserve">Homeowner request matched and delivered to a pro. Charged at $25/lead.</t>
  </si>
  <si>
    <t xml:space="preserve">Take rate</t>
  </si>
  <si>
    <t xml:space="preserve">Transaction take rate</t>
  </si>
  <si>
    <t xml:space="preserve">Platform fee as % of signed contract value. Set to 4% in Assumptions!C17.</t>
  </si>
  <si>
    <t xml:space="preserve">CAC</t>
  </si>
  <si>
    <t xml:space="preserve">Customer Acquisition Cost</t>
  </si>
  <si>
    <t xml:space="preserve">Marketing $ to acquire a paying customer. Excluded from this model.</t>
  </si>
  <si>
    <t xml:space="preserve">RFI</t>
  </si>
  <si>
    <t xml:space="preserve">Request for Information</t>
  </si>
  <si>
    <t xml:space="preserve">In-project clarification request between homeowner and pro. P5 feature.</t>
  </si>
  <si>
    <t xml:space="preserve">$/mo</t>
  </si>
  <si>
    <t xml:space="preserve">US dollars per month</t>
  </si>
  <si>
    <t xml:space="preserve">Monthly run-rate.</t>
  </si>
  <si>
    <t xml:space="preserve">$/yr</t>
  </si>
  <si>
    <t xml:space="preserve">US dollars per year</t>
  </si>
  <si>
    <t xml:space="preserve">Annualized run-rate (= monthly × 12).</t>
  </si>
  <si>
    <t xml:space="preserve">GM%</t>
  </si>
  <si>
    <t xml:space="preserve">Gross Margin percent</t>
  </si>
  <si>
    <t xml:space="preserve">(Revenue − Hosting Cost) / Revenue. Excludes headcount / build / marketing.</t>
  </si>
  <si>
    <t xml:space="preserve">Tech stack &amp; vendors</t>
  </si>
  <si>
    <t xml:space="preserve">LLM</t>
  </si>
  <si>
    <t xml:space="preserve">Large Language Model</t>
  </si>
  <si>
    <t xml:space="preserve">AI model used for scope scans / chat (Anthropic Claude in this build).</t>
  </si>
  <si>
    <t xml:space="preserve">R2</t>
  </si>
  <si>
    <t xml:space="preserve">Cloudflare R2</t>
  </si>
  <si>
    <t xml:space="preserve">Object storage for uploads (PDFs, photos). S3-compatible, no egress fees.</t>
  </si>
  <si>
    <t xml:space="preserve">Postgres</t>
  </si>
  <si>
    <t xml:space="preserve">PostgreSQL</t>
  </si>
  <si>
    <t xml:space="preserve">Primary relational database (hosted on Render).</t>
  </si>
  <si>
    <t xml:space="preserve">Redis</t>
  </si>
  <si>
    <t xml:space="preserve">In-memory cache / queue. Added in P5 for jobs and rate limits.</t>
  </si>
  <si>
    <t xml:space="preserve">Render</t>
  </si>
  <si>
    <t xml:space="preserve">Render.com</t>
  </si>
  <si>
    <t xml:space="preserve">Chosen hosting platform — managed Web Services, Postgres, cron, disks.</t>
  </si>
  <si>
    <t xml:space="preserve">AWS</t>
  </si>
  <si>
    <t xml:space="preserve">Amazon Web Services</t>
  </si>
  <si>
    <t xml:space="preserve">Alternative hosting (Fargate / RDS / S3). Compared in HOSTING_COSTS_CLOUDS.md.</t>
  </si>
  <si>
    <t xml:space="preserve">GCP</t>
  </si>
  <si>
    <t xml:space="preserve">Google Cloud Platform</t>
  </si>
  <si>
    <t xml:space="preserve">Alternative hosting (Cloud Run / Cloud SQL / GCS). Same doc.</t>
  </si>
  <si>
    <t xml:space="preserve">CDN</t>
  </si>
  <si>
    <t xml:space="preserve">Content Delivery Network</t>
  </si>
  <si>
    <t xml:space="preserve">Edge caching for static assets (Cloudflare / Render CDN).</t>
  </si>
  <si>
    <t xml:space="preserve">DocuSign</t>
  </si>
  <si>
    <t xml:space="preserve">DocuSign e-signature</t>
  </si>
  <si>
    <t xml:space="preserve">P4 vendor for binding signatures on contracts.</t>
  </si>
  <si>
    <t xml:space="preserve">Pusher</t>
  </si>
  <si>
    <t xml:space="preserve">Pusher Channels</t>
  </si>
  <si>
    <t xml:space="preserve">Real-time websockets for chat / progress updates (P5).</t>
  </si>
  <si>
    <t xml:space="preserve">Stripe</t>
  </si>
  <si>
    <t xml:space="preserve">Stripe / Stripe Connect</t>
  </si>
  <si>
    <t xml:space="preserve">Payments. Connect handles pro payouts. Processing fees are passthrough.</t>
  </si>
  <si>
    <t xml:space="preserve">SendGrid</t>
  </si>
  <si>
    <t xml:space="preserve">Twilio SendGrid</t>
  </si>
  <si>
    <t xml:space="preserve">Transactional email (notifications, receipts, magic links).</t>
  </si>
  <si>
    <t xml:space="preserve">API</t>
  </si>
  <si>
    <t xml:space="preserve">Application Programming Interface</t>
  </si>
  <si>
    <t xml:space="preserve">Backend service (NestJS) the web/mobile clients call.</t>
  </si>
  <si>
    <t xml:space="preserve">DevOps</t>
  </si>
  <si>
    <t xml:space="preserve">Development Operations</t>
  </si>
  <si>
    <t xml:space="preserve">Build, deploy, monitor pipeline (Render auto-deploy from GitHub).</t>
  </si>
  <si>
    <t xml:space="preserve">Workbook conventions</t>
  </si>
  <si>
    <t xml:space="preserve">Sheet!A1</t>
  </si>
  <si>
    <t xml:space="preserve">Cross-sheet reference</t>
  </si>
  <si>
    <t xml:space="preserve">e.g. Costing!I8 = Phase 7 cost for the Medium tier.</t>
  </si>
  <si>
    <t xml:space="preserve">$C$16</t>
  </si>
  <si>
    <t xml:space="preserve">Absolute reference</t>
  </si>
  <si>
    <t xml:space="preserve">Dollar signs lock the cell so formulas can be copied. Used for global rates.</t>
  </si>
  <si>
    <t xml:space="preserve">Green fill</t>
  </si>
  <si>
    <t xml:space="preserve">Profitable cell</t>
  </si>
  <si>
    <t xml:space="preserve">Net Margin and Summary sheets — Net ≥ 0.</t>
  </si>
  <si>
    <t xml:space="preserve">Red fill</t>
  </si>
  <si>
    <t xml:space="preserve">Subsidized cell</t>
  </si>
  <si>
    <t xml:space="preserve">Net &lt; 0 — usually Phase 1 only.</t>
  </si>
  <si>
    <t xml:space="preserve">Yellow fill</t>
  </si>
  <si>
    <t xml:space="preserve">Total / highlight row</t>
  </si>
  <si>
    <t xml:space="preserve">TOTAL Monthly Revenue band on the Revenue sheet.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</si>
</sst>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\$#,##0;[RED]&quot;-$&quot;#,##0"/>
    <numFmt numFmtId="167" formatCode="0%"/>
    <numFmt numFmtId="168" formatCode="#,##0"/>
    <numFmt numFmtId="169" formatCode="0.0%"/>
    <numFmt numFmtId="170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  <fill>
      <patternFill patternType="solid">
        <fgColor rgb="FFFFE699"/>
        <bgColor rgb="FFF8CBA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7" min="3" style="1" width="18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customFormat="false" ht="15" hidden="false" customHeight="true" outlineLevel="0" collapsed="false">
      <c r="B6" s="5" t="s">
        <v>8</v>
      </c>
      <c r="C6" s="6" t="n">
        <f aca="false">Costing!I6</f>
        <v>204</v>
      </c>
      <c r="D6" s="6" t="n">
        <f aca="false">Revenue!I27</f>
        <v>1950</v>
      </c>
      <c r="E6" s="7" t="n">
        <f aca="false">D6-C6</f>
        <v>1746</v>
      </c>
      <c r="F6" s="7" t="n">
        <f aca="false">E6*12</f>
        <v>20952</v>
      </c>
      <c r="G6" s="8" t="n">
        <f aca="false">IFERROR(E6/D6,"")</f>
        <v>0.895384615384615</v>
      </c>
    </row>
    <row r="7" customFormat="false" ht="15" hidden="false" customHeight="true" outlineLevel="0" collapsed="false">
      <c r="B7" s="5" t="s">
        <v>9</v>
      </c>
      <c r="C7" s="6" t="n">
        <f aca="false">Costing!I7</f>
        <v>1315</v>
      </c>
      <c r="D7" s="6" t="n">
        <f aca="false">Revenue!I28</f>
        <v>37000</v>
      </c>
      <c r="E7" s="7" t="n">
        <f aca="false">D7-C7</f>
        <v>35685</v>
      </c>
      <c r="F7" s="7" t="n">
        <f aca="false">E7*12</f>
        <v>428220</v>
      </c>
      <c r="G7" s="8" t="n">
        <f aca="false">IFERROR(E7/D7,"")</f>
        <v>0.964459459459459</v>
      </c>
    </row>
    <row r="8" customFormat="false" ht="15" hidden="false" customHeight="true" outlineLevel="0" collapsed="false">
      <c r="B8" s="5" t="s">
        <v>10</v>
      </c>
      <c r="C8" s="6" t="n">
        <f aca="false">Costing!I8</f>
        <v>7369</v>
      </c>
      <c r="D8" s="6" t="n">
        <f aca="false">Revenue!I29</f>
        <v>350000</v>
      </c>
      <c r="E8" s="7" t="n">
        <f aca="false">D8-C8</f>
        <v>342631</v>
      </c>
      <c r="F8" s="7" t="n">
        <f aca="false">E8*12</f>
        <v>4111572</v>
      </c>
      <c r="G8" s="8" t="n">
        <f aca="false">IFERROR(E8/D8,"")</f>
        <v>0.978945714285714</v>
      </c>
    </row>
    <row r="9" customFormat="false" ht="15" hidden="false" customHeight="true" outlineLevel="0" collapsed="false">
      <c r="B9" s="5" t="s">
        <v>11</v>
      </c>
      <c r="C9" s="6" t="n">
        <f aca="false">Costing!I9</f>
        <v>27339</v>
      </c>
      <c r="D9" s="6" t="n">
        <f aca="false">Revenue!I30</f>
        <v>1750000</v>
      </c>
      <c r="E9" s="7" t="n">
        <f aca="false">D9-C9</f>
        <v>1722661</v>
      </c>
      <c r="F9" s="7" t="n">
        <f aca="false">E9*12</f>
        <v>20671932</v>
      </c>
      <c r="G9" s="8" t="n">
        <f aca="false">IFERROR(E9/D9,"")</f>
        <v>0.984377714285714</v>
      </c>
    </row>
    <row r="10" customFormat="false" ht="15" hidden="false" customHeight="true" outlineLevel="0" collapsed="false">
      <c r="B10" s="5" t="s">
        <v>12</v>
      </c>
      <c r="C10" s="6" t="n">
        <f aca="false">Costing!I10</f>
        <v>117525</v>
      </c>
      <c r="D10" s="6" t="n">
        <f aca="false">Revenue!I31</f>
        <v>8650000</v>
      </c>
      <c r="E10" s="7" t="n">
        <f aca="false">D10-C10</f>
        <v>8532475</v>
      </c>
      <c r="F10" s="7" t="n">
        <f aca="false">E10*12</f>
        <v>102389700</v>
      </c>
      <c r="G10" s="8" t="n">
        <f aca="false">IFERROR(E10/D10,"")</f>
        <v>0.986413294797688</v>
      </c>
    </row>
    <row r="12" customFormat="false" ht="15" hidden="false" customHeight="true" outlineLevel="0" collapsed="false">
      <c r="B12" s="9" t="s">
        <v>13</v>
      </c>
      <c r="C12" s="10"/>
      <c r="D12" s="10"/>
      <c r="E12" s="10"/>
      <c r="F12" s="10"/>
      <c r="G12" s="10"/>
    </row>
    <row r="13" customFormat="false" ht="15" hidden="false" customHeight="true" outlineLevel="0" collapsed="false">
      <c r="B13" s="5" t="s">
        <v>14</v>
      </c>
      <c r="C13" s="11" t="s">
        <v>15</v>
      </c>
      <c r="D13" s="11"/>
      <c r="E13" s="11"/>
      <c r="F13" s="11"/>
      <c r="G13" s="11"/>
    </row>
    <row r="14" customFormat="false" ht="15" hidden="false" customHeight="true" outlineLevel="0" collapsed="false">
      <c r="B14" s="5" t="s">
        <v>16</v>
      </c>
      <c r="C14" s="11" t="s">
        <v>17</v>
      </c>
      <c r="D14" s="11"/>
      <c r="E14" s="11"/>
      <c r="F14" s="11"/>
      <c r="G14" s="11"/>
    </row>
    <row r="15" customFormat="false" ht="15" hidden="false" customHeight="true" outlineLevel="0" collapsed="false">
      <c r="B15" s="5" t="s">
        <v>18</v>
      </c>
      <c r="C15" s="11" t="s">
        <v>19</v>
      </c>
      <c r="D15" s="11"/>
      <c r="E15" s="11"/>
      <c r="F15" s="11"/>
      <c r="G15" s="11"/>
    </row>
    <row r="17" customFormat="false" ht="15" hidden="false" customHeight="true" outlineLevel="0" collapsed="false">
      <c r="B17" s="12" t="s">
        <v>20</v>
      </c>
      <c r="C17" s="13"/>
      <c r="D17" s="13"/>
      <c r="E17" s="13"/>
      <c r="F17" s="13"/>
      <c r="G17" s="13"/>
    </row>
    <row r="18" customFormat="false" ht="23.25" hidden="false" customHeight="true" outlineLevel="0" collapsed="false">
      <c r="B18" s="5" t="s">
        <v>21</v>
      </c>
      <c r="C18" s="11" t="s">
        <v>22</v>
      </c>
      <c r="D18" s="11"/>
      <c r="E18" s="11"/>
      <c r="F18" s="11"/>
      <c r="G18" s="11"/>
    </row>
    <row r="19" customFormat="false" ht="15" hidden="false" customHeight="true" outlineLevel="0" collapsed="false">
      <c r="B19" s="5" t="s">
        <v>23</v>
      </c>
      <c r="C19" s="11" t="s">
        <v>24</v>
      </c>
      <c r="D19" s="11"/>
      <c r="E19" s="11"/>
      <c r="F19" s="11"/>
      <c r="G19" s="11"/>
    </row>
  </sheetData>
  <mergeCells count="7">
    <mergeCell ref="C12:G12"/>
    <mergeCell ref="C13:G13"/>
    <mergeCell ref="C14:G14"/>
    <mergeCell ref="C15:G15"/>
    <mergeCell ref="C17:G17"/>
    <mergeCell ref="C18:G18"/>
    <mergeCell ref="C19:G19"/>
  </mergeCells>
  <conditionalFormatting sqref="E6:F10">
    <cfRule type="cellIs" priority="2" operator="greaterThanOr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9" min="3" style="1" width="16"/>
  </cols>
  <sheetData>
    <row r="2" customFormat="false" ht="19.5" hidden="false" customHeight="true" outlineLevel="0" collapsed="false">
      <c r="B2" s="14" t="s">
        <v>25</v>
      </c>
    </row>
    <row r="3" customFormat="false" ht="15" hidden="false" customHeight="true" outlineLevel="0" collapsed="false">
      <c r="B3" s="3" t="s">
        <v>26</v>
      </c>
    </row>
    <row r="5" customFormat="false" ht="15" hidden="false" customHeight="true" outlineLevel="0" collapsed="false">
      <c r="B5" s="15" t="s">
        <v>27</v>
      </c>
    </row>
    <row r="6" customFormat="false" ht="15" hidden="false" customHeight="true" outlineLevel="0" collapsed="false"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</row>
    <row r="7" customFormat="false" ht="15" hidden="false" customHeight="true" outlineLevel="0" collapsed="false">
      <c r="B7" s="5" t="s">
        <v>34</v>
      </c>
      <c r="C7" s="16" t="n">
        <v>50</v>
      </c>
      <c r="D7" s="16" t="n">
        <v>1000</v>
      </c>
      <c r="E7" s="16" t="n">
        <v>10000</v>
      </c>
      <c r="F7" s="16" t="n">
        <v>50000</v>
      </c>
      <c r="G7" s="16" t="n">
        <v>250000</v>
      </c>
    </row>
    <row r="8" customFormat="false" ht="15" hidden="false" customHeight="true" outlineLevel="0" collapsed="false">
      <c r="B8" s="5" t="s">
        <v>35</v>
      </c>
      <c r="C8" s="16" t="n">
        <v>30</v>
      </c>
      <c r="D8" s="16" t="n">
        <v>500</v>
      </c>
      <c r="E8" s="16" t="n">
        <v>4000</v>
      </c>
      <c r="F8" s="16" t="n">
        <v>20000</v>
      </c>
      <c r="G8" s="16" t="n">
        <v>100000</v>
      </c>
    </row>
    <row r="9" customFormat="false" ht="15" hidden="false" customHeight="true" outlineLevel="0" collapsed="false">
      <c r="B9" s="5" t="s">
        <v>36</v>
      </c>
      <c r="C9" s="16" t="n">
        <v>5</v>
      </c>
      <c r="D9" s="16" t="n">
        <v>80</v>
      </c>
      <c r="E9" s="16" t="n">
        <v>600</v>
      </c>
      <c r="F9" s="16" t="n">
        <v>3000</v>
      </c>
      <c r="G9" s="16" t="n">
        <v>14000</v>
      </c>
    </row>
    <row r="10" customFormat="false" ht="15" hidden="false" customHeight="true" outlineLevel="0" collapsed="false">
      <c r="B10" s="5" t="s">
        <v>37</v>
      </c>
      <c r="C10" s="16" t="n">
        <v>2</v>
      </c>
      <c r="D10" s="16" t="n">
        <v>40</v>
      </c>
      <c r="E10" s="16" t="n">
        <v>400</v>
      </c>
      <c r="F10" s="16" t="n">
        <v>2000</v>
      </c>
      <c r="G10" s="16" t="n">
        <v>10000</v>
      </c>
    </row>
    <row r="11" customFormat="false" ht="15" hidden="false" customHeight="true" outlineLevel="0" collapsed="false">
      <c r="B11" s="5" t="s">
        <v>38</v>
      </c>
      <c r="C11" s="6" t="n">
        <v>15000</v>
      </c>
      <c r="D11" s="6" t="n">
        <v>15000</v>
      </c>
      <c r="E11" s="6" t="n">
        <v>15000</v>
      </c>
      <c r="F11" s="6" t="n">
        <v>15000</v>
      </c>
      <c r="G11" s="6" t="n">
        <v>15000</v>
      </c>
    </row>
    <row r="12" customFormat="false" ht="15" hidden="false" customHeight="true" outlineLevel="0" collapsed="false">
      <c r="B12" s="5" t="s">
        <v>39</v>
      </c>
      <c r="C12" s="16" t="n">
        <v>10</v>
      </c>
      <c r="D12" s="16" t="n">
        <v>200</v>
      </c>
      <c r="E12" s="16" t="n">
        <v>2000</v>
      </c>
      <c r="F12" s="16" t="n">
        <v>10000</v>
      </c>
      <c r="G12" s="16" t="n">
        <v>50000</v>
      </c>
    </row>
    <row r="15" customFormat="false" ht="15" hidden="false" customHeight="true" outlineLevel="0" collapsed="false">
      <c r="B15" s="15" t="s">
        <v>40</v>
      </c>
    </row>
    <row r="16" customFormat="false" ht="15" hidden="false" customHeight="true" outlineLevel="0" collapsed="false">
      <c r="B16" s="5" t="s">
        <v>41</v>
      </c>
      <c r="C16" s="6" t="n">
        <v>100</v>
      </c>
    </row>
    <row r="17" customFormat="false" ht="15" hidden="false" customHeight="true" outlineLevel="0" collapsed="false">
      <c r="B17" s="5" t="s">
        <v>42</v>
      </c>
      <c r="C17" s="17" t="n">
        <v>0.04</v>
      </c>
    </row>
    <row r="18" customFormat="false" ht="15" hidden="false" customHeight="true" outlineLevel="0" collapsed="false">
      <c r="B18" s="5" t="s">
        <v>43</v>
      </c>
      <c r="C18" s="6" t="n">
        <v>25</v>
      </c>
    </row>
    <row r="19" customFormat="false" ht="15" hidden="false" customHeight="true" outlineLevel="0" collapsed="false">
      <c r="B19" s="5" t="s">
        <v>44</v>
      </c>
      <c r="C19" s="6" t="n">
        <v>0</v>
      </c>
    </row>
    <row r="22" customFormat="false" ht="15" hidden="false" customHeight="true" outlineLevel="0" collapsed="false">
      <c r="B22" s="15" t="s">
        <v>45</v>
      </c>
    </row>
    <row r="23" customFormat="false" ht="15" hidden="false" customHeight="true" outlineLevel="0" collapsed="false">
      <c r="B23" s="18" t="s">
        <v>46</v>
      </c>
      <c r="C23" s="18"/>
      <c r="D23" s="18"/>
      <c r="E23" s="18"/>
      <c r="F23" s="18"/>
      <c r="G23" s="18"/>
    </row>
    <row r="24" customFormat="false" ht="15" hidden="false" customHeight="true" outlineLevel="0" collapsed="false">
      <c r="B24" s="18"/>
      <c r="C24" s="18"/>
      <c r="D24" s="18"/>
      <c r="E24" s="18"/>
      <c r="F24" s="18"/>
      <c r="G24" s="18"/>
    </row>
    <row r="25" customFormat="false" ht="15" hidden="false" customHeight="true" outlineLevel="0" collapsed="false">
      <c r="B25" s="18"/>
      <c r="C25" s="18"/>
      <c r="D25" s="18"/>
      <c r="E25" s="18"/>
      <c r="F25" s="18"/>
      <c r="G25" s="18"/>
    </row>
    <row r="26" customFormat="false" ht="15" hidden="false" customHeight="true" outlineLevel="0" collapsed="false">
      <c r="B26" s="18"/>
      <c r="C26" s="18"/>
      <c r="D26" s="18"/>
      <c r="E26" s="18"/>
      <c r="F26" s="18"/>
      <c r="G26" s="18"/>
    </row>
    <row r="27" customFormat="false" ht="15" hidden="false" customHeight="true" outlineLevel="0" collapsed="false">
      <c r="B27" s="18"/>
      <c r="C27" s="18"/>
      <c r="D27" s="18"/>
      <c r="E27" s="18"/>
      <c r="F27" s="18"/>
      <c r="G27" s="18"/>
    </row>
    <row r="28" customFormat="false" ht="15" hidden="false" customHeight="true" outlineLevel="0" collapsed="false">
      <c r="B28" s="18"/>
      <c r="C28" s="18"/>
      <c r="D28" s="18"/>
      <c r="E28" s="18"/>
      <c r="F28" s="18"/>
      <c r="G28" s="18"/>
    </row>
    <row r="30" customFormat="false" ht="15" hidden="false" customHeight="true" outlineLevel="0" collapsed="false">
      <c r="B30" s="15" t="s">
        <v>47</v>
      </c>
    </row>
    <row r="31" customFormat="false" ht="15" hidden="false" customHeight="true" outlineLevel="0" collapsed="false">
      <c r="B31" s="19" t="s">
        <v>48</v>
      </c>
      <c r="C31" s="18" t="s">
        <v>49</v>
      </c>
      <c r="D31" s="18"/>
      <c r="E31" s="18"/>
      <c r="F31" s="18"/>
      <c r="G31" s="18"/>
    </row>
    <row r="32" customFormat="false" ht="15" hidden="false" customHeight="true" outlineLevel="0" collapsed="false">
      <c r="B32" s="19" t="s">
        <v>50</v>
      </c>
      <c r="C32" s="18" t="s">
        <v>51</v>
      </c>
      <c r="D32" s="18"/>
      <c r="E32" s="18"/>
      <c r="F32" s="18"/>
      <c r="G32" s="18"/>
    </row>
    <row r="33" customFormat="false" ht="15" hidden="false" customHeight="true" outlineLevel="0" collapsed="false">
      <c r="B33" s="19" t="s">
        <v>52</v>
      </c>
      <c r="C33" s="18" t="s">
        <v>53</v>
      </c>
      <c r="D33" s="18"/>
      <c r="E33" s="18"/>
      <c r="F33" s="18"/>
      <c r="G33" s="18"/>
    </row>
    <row r="34" customFormat="false" ht="15" hidden="false" customHeight="true" outlineLevel="0" collapsed="false">
      <c r="B34" s="19" t="s">
        <v>54</v>
      </c>
      <c r="C34" s="18" t="s">
        <v>55</v>
      </c>
      <c r="D34" s="18"/>
      <c r="E34" s="18"/>
      <c r="F34" s="18"/>
      <c r="G34" s="18"/>
    </row>
    <row r="35" customFormat="false" ht="15" hidden="false" customHeight="true" outlineLevel="0" collapsed="false">
      <c r="B35" s="19" t="s">
        <v>56</v>
      </c>
      <c r="C35" s="18" t="s">
        <v>57</v>
      </c>
      <c r="D35" s="18"/>
      <c r="E35" s="18"/>
      <c r="F35" s="18"/>
      <c r="G35" s="18"/>
    </row>
    <row r="36" customFormat="false" ht="15" hidden="false" customHeight="true" outlineLevel="0" collapsed="false">
      <c r="B36" s="19" t="s">
        <v>58</v>
      </c>
      <c r="C36" s="18" t="s">
        <v>59</v>
      </c>
      <c r="D36" s="18"/>
      <c r="E36" s="18"/>
      <c r="F36" s="18"/>
      <c r="G36" s="18"/>
    </row>
    <row r="37" customFormat="false" ht="15" hidden="false" customHeight="true" outlineLevel="0" collapsed="false">
      <c r="B37" s="19" t="s">
        <v>60</v>
      </c>
      <c r="C37" s="18" t="s">
        <v>61</v>
      </c>
      <c r="D37" s="18"/>
      <c r="E37" s="18"/>
      <c r="F37" s="18"/>
      <c r="G37" s="18"/>
    </row>
  </sheetData>
  <mergeCells count="8">
    <mergeCell ref="B23:G28"/>
    <mergeCell ref="C31:G31"/>
    <mergeCell ref="C32:G32"/>
    <mergeCell ref="C33:G33"/>
    <mergeCell ref="C34:G34"/>
    <mergeCell ref="C35:G35"/>
    <mergeCell ref="C36:G36"/>
    <mergeCell ref="C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9" min="3" style="1" width="14"/>
  </cols>
  <sheetData>
    <row r="2" customFormat="false" ht="17.25" hidden="false" customHeight="true" outlineLevel="0" collapsed="false">
      <c r="B2" s="2" t="s">
        <v>62</v>
      </c>
    </row>
    <row r="3" customFormat="false" ht="15" hidden="false" customHeight="true" outlineLevel="0" collapsed="false">
      <c r="B3" s="3" t="s">
        <v>63</v>
      </c>
    </row>
    <row r="5" customFormat="false" ht="15" hidden="false" customHeight="true" outlineLevel="0" collapsed="false">
      <c r="B5" s="4" t="s">
        <v>64</v>
      </c>
      <c r="C5" s="4" t="s">
        <v>48</v>
      </c>
      <c r="D5" s="4" t="s">
        <v>50</v>
      </c>
      <c r="E5" s="4" t="s">
        <v>52</v>
      </c>
      <c r="F5" s="4" t="s">
        <v>54</v>
      </c>
      <c r="G5" s="4" t="s">
        <v>56</v>
      </c>
      <c r="H5" s="4" t="s">
        <v>58</v>
      </c>
      <c r="I5" s="4" t="s">
        <v>60</v>
      </c>
    </row>
    <row r="6" customFormat="false" ht="15" hidden="false" customHeight="true" outlineLevel="0" collapsed="false">
      <c r="B6" s="20" t="s">
        <v>8</v>
      </c>
      <c r="C6" s="6" t="n">
        <v>30</v>
      </c>
      <c r="D6" s="6" t="n">
        <v>35</v>
      </c>
      <c r="E6" s="6" t="n">
        <v>43</v>
      </c>
      <c r="F6" s="6" t="n">
        <v>73</v>
      </c>
      <c r="G6" s="6" t="n">
        <v>163</v>
      </c>
      <c r="H6" s="6" t="n">
        <v>172</v>
      </c>
      <c r="I6" s="6" t="n">
        <v>204</v>
      </c>
    </row>
    <row r="7" customFormat="false" ht="15" hidden="false" customHeight="true" outlineLevel="0" collapsed="false">
      <c r="B7" s="20" t="s">
        <v>9</v>
      </c>
      <c r="C7" s="6" t="n">
        <v>324</v>
      </c>
      <c r="D7" s="6" t="n">
        <v>384</v>
      </c>
      <c r="E7" s="6" t="n">
        <v>504</v>
      </c>
      <c r="F7" s="6" t="n">
        <v>658</v>
      </c>
      <c r="G7" s="6" t="n">
        <v>1012</v>
      </c>
      <c r="H7" s="6" t="n">
        <v>1108</v>
      </c>
      <c r="I7" s="6" t="n">
        <v>1315</v>
      </c>
    </row>
    <row r="8" customFormat="false" ht="15" hidden="false" customHeight="true" outlineLevel="0" collapsed="false">
      <c r="B8" s="20" t="s">
        <v>10</v>
      </c>
      <c r="C8" s="6" t="n">
        <v>1980</v>
      </c>
      <c r="D8" s="6" t="n">
        <v>2451</v>
      </c>
      <c r="E8" s="6" t="n">
        <v>3371</v>
      </c>
      <c r="F8" s="6" t="n">
        <v>4092</v>
      </c>
      <c r="G8" s="6" t="n">
        <v>5944</v>
      </c>
      <c r="H8" s="6" t="n">
        <v>6419</v>
      </c>
      <c r="I8" s="6" t="n">
        <v>7369</v>
      </c>
    </row>
    <row r="9" customFormat="false" ht="15" hidden="false" customHeight="true" outlineLevel="0" collapsed="false">
      <c r="B9" s="20" t="s">
        <v>11</v>
      </c>
      <c r="C9" s="6" t="n">
        <v>7018</v>
      </c>
      <c r="D9" s="6" t="n">
        <v>9282</v>
      </c>
      <c r="E9" s="6" t="n">
        <v>13772</v>
      </c>
      <c r="F9" s="6" t="n">
        <v>16290</v>
      </c>
      <c r="G9" s="6" t="n">
        <v>22639</v>
      </c>
      <c r="H9" s="6" t="n">
        <v>24369</v>
      </c>
      <c r="I9" s="6" t="n">
        <v>27339</v>
      </c>
    </row>
    <row r="10" customFormat="false" ht="15" hidden="false" customHeight="true" outlineLevel="0" collapsed="false">
      <c r="B10" s="20" t="s">
        <v>12</v>
      </c>
      <c r="C10" s="6" t="n">
        <v>28426</v>
      </c>
      <c r="D10" s="6" t="n">
        <v>39477</v>
      </c>
      <c r="E10" s="6" t="n">
        <v>61677</v>
      </c>
      <c r="F10" s="6" t="n">
        <v>72275</v>
      </c>
      <c r="G10" s="6" t="n">
        <v>97275</v>
      </c>
      <c r="H10" s="6" t="n">
        <v>104125</v>
      </c>
      <c r="I10" s="6" t="n">
        <v>117525</v>
      </c>
    </row>
    <row r="13" customFormat="false" ht="15" hidden="false" customHeight="true" outlineLevel="0" collapsed="false">
      <c r="B13" s="15" t="s">
        <v>65</v>
      </c>
    </row>
    <row r="14" customFormat="false" ht="15" hidden="false" customHeight="true" outlineLevel="0" collapsed="false">
      <c r="B14" s="4" t="s">
        <v>64</v>
      </c>
      <c r="C14" s="4" t="s">
        <v>48</v>
      </c>
      <c r="D14" s="4" t="s">
        <v>50</v>
      </c>
      <c r="E14" s="4" t="s">
        <v>52</v>
      </c>
      <c r="F14" s="4" t="s">
        <v>54</v>
      </c>
      <c r="G14" s="4" t="s">
        <v>56</v>
      </c>
      <c r="H14" s="4" t="s">
        <v>58</v>
      </c>
      <c r="I14" s="4" t="s">
        <v>60</v>
      </c>
    </row>
    <row r="15" customFormat="false" ht="15" hidden="false" customHeight="true" outlineLevel="0" collapsed="false">
      <c r="B15" s="20" t="s">
        <v>8</v>
      </c>
      <c r="C15" s="6" t="n">
        <f aca="false">C6*12</f>
        <v>360</v>
      </c>
      <c r="D15" s="6" t="n">
        <f aca="false">D6*12</f>
        <v>420</v>
      </c>
      <c r="E15" s="6" t="n">
        <f aca="false">E6*12</f>
        <v>516</v>
      </c>
      <c r="F15" s="6" t="n">
        <f aca="false">F6*12</f>
        <v>876</v>
      </c>
      <c r="G15" s="6" t="n">
        <f aca="false">G6*12</f>
        <v>1956</v>
      </c>
      <c r="H15" s="6" t="n">
        <f aca="false">H6*12</f>
        <v>2064</v>
      </c>
      <c r="I15" s="6" t="n">
        <f aca="false">I6*12</f>
        <v>2448</v>
      </c>
    </row>
    <row r="16" customFormat="false" ht="15" hidden="false" customHeight="true" outlineLevel="0" collapsed="false">
      <c r="B16" s="20" t="s">
        <v>9</v>
      </c>
      <c r="C16" s="6" t="n">
        <f aca="false">C7*12</f>
        <v>3888</v>
      </c>
      <c r="D16" s="6" t="n">
        <f aca="false">D7*12</f>
        <v>4608</v>
      </c>
      <c r="E16" s="6" t="n">
        <f aca="false">E7*12</f>
        <v>6048</v>
      </c>
      <c r="F16" s="6" t="n">
        <f aca="false">F7*12</f>
        <v>7896</v>
      </c>
      <c r="G16" s="6" t="n">
        <f aca="false">G7*12</f>
        <v>12144</v>
      </c>
      <c r="H16" s="6" t="n">
        <f aca="false">H7*12</f>
        <v>13296</v>
      </c>
      <c r="I16" s="6" t="n">
        <f aca="false">I7*12</f>
        <v>15780</v>
      </c>
    </row>
    <row r="17" customFormat="false" ht="15" hidden="false" customHeight="true" outlineLevel="0" collapsed="false">
      <c r="B17" s="20" t="s">
        <v>10</v>
      </c>
      <c r="C17" s="6" t="n">
        <f aca="false">C8*12</f>
        <v>23760</v>
      </c>
      <c r="D17" s="6" t="n">
        <f aca="false">D8*12</f>
        <v>29412</v>
      </c>
      <c r="E17" s="6" t="n">
        <f aca="false">E8*12</f>
        <v>40452</v>
      </c>
      <c r="F17" s="6" t="n">
        <f aca="false">F8*12</f>
        <v>49104</v>
      </c>
      <c r="G17" s="6" t="n">
        <f aca="false">G8*12</f>
        <v>71328</v>
      </c>
      <c r="H17" s="6" t="n">
        <f aca="false">H8*12</f>
        <v>77028</v>
      </c>
      <c r="I17" s="6" t="n">
        <f aca="false">I8*12</f>
        <v>88428</v>
      </c>
    </row>
    <row r="18" customFormat="false" ht="15" hidden="false" customHeight="true" outlineLevel="0" collapsed="false">
      <c r="B18" s="20" t="s">
        <v>11</v>
      </c>
      <c r="C18" s="6" t="n">
        <f aca="false">C9*12</f>
        <v>84216</v>
      </c>
      <c r="D18" s="6" t="n">
        <f aca="false">D9*12</f>
        <v>111384</v>
      </c>
      <c r="E18" s="6" t="n">
        <f aca="false">E9*12</f>
        <v>165264</v>
      </c>
      <c r="F18" s="6" t="n">
        <f aca="false">F9*12</f>
        <v>195480</v>
      </c>
      <c r="G18" s="6" t="n">
        <f aca="false">G9*12</f>
        <v>271668</v>
      </c>
      <c r="H18" s="6" t="n">
        <f aca="false">H9*12</f>
        <v>292428</v>
      </c>
      <c r="I18" s="6" t="n">
        <f aca="false">I9*12</f>
        <v>328068</v>
      </c>
    </row>
    <row r="19" customFormat="false" ht="15" hidden="false" customHeight="true" outlineLevel="0" collapsed="false">
      <c r="B19" s="20" t="s">
        <v>12</v>
      </c>
      <c r="C19" s="6" t="n">
        <f aca="false">C10*12</f>
        <v>341112</v>
      </c>
      <c r="D19" s="6" t="n">
        <f aca="false">D10*12</f>
        <v>473724</v>
      </c>
      <c r="E19" s="6" t="n">
        <f aca="false">E10*12</f>
        <v>740124</v>
      </c>
      <c r="F19" s="6" t="n">
        <f aca="false">F10*12</f>
        <v>867300</v>
      </c>
      <c r="G19" s="6" t="n">
        <f aca="false">G10*12</f>
        <v>1167300</v>
      </c>
      <c r="H19" s="6" t="n">
        <f aca="false">H10*12</f>
        <v>1249500</v>
      </c>
      <c r="I19" s="6" t="n">
        <f aca="false">I10*12</f>
        <v>1410300</v>
      </c>
    </row>
    <row r="22" customFormat="false" ht="15" hidden="false" customHeight="true" outlineLevel="0" collapsed="false">
      <c r="B22" s="15" t="s">
        <v>66</v>
      </c>
    </row>
    <row r="23" customFormat="false" ht="15" hidden="false" customHeight="true" outlineLevel="0" collapsed="false">
      <c r="B23" s="4" t="s">
        <v>64</v>
      </c>
      <c r="C23" s="4" t="s">
        <v>48</v>
      </c>
      <c r="D23" s="4" t="s">
        <v>50</v>
      </c>
      <c r="E23" s="4" t="s">
        <v>52</v>
      </c>
      <c r="F23" s="4" t="s">
        <v>54</v>
      </c>
      <c r="G23" s="4" t="s">
        <v>56</v>
      </c>
      <c r="H23" s="4" t="s">
        <v>58</v>
      </c>
      <c r="I23" s="4" t="s">
        <v>60</v>
      </c>
    </row>
    <row r="24" customFormat="false" ht="15" hidden="false" customHeight="true" outlineLevel="0" collapsed="false">
      <c r="B24" s="20" t="s">
        <v>8</v>
      </c>
      <c r="C24" s="21" t="n">
        <f aca="false">C6/Assumptions!C8</f>
        <v>1</v>
      </c>
      <c r="D24" s="21" t="n">
        <f aca="false">D6/Assumptions!C8</f>
        <v>1.16666666666667</v>
      </c>
      <c r="E24" s="21" t="n">
        <f aca="false">E6/Assumptions!C8</f>
        <v>1.43333333333333</v>
      </c>
      <c r="F24" s="21" t="n">
        <f aca="false">F6/Assumptions!C8</f>
        <v>2.43333333333333</v>
      </c>
      <c r="G24" s="21" t="n">
        <f aca="false">G6/Assumptions!C8</f>
        <v>5.43333333333333</v>
      </c>
      <c r="H24" s="21" t="n">
        <f aca="false">H6/Assumptions!C8</f>
        <v>5.73333333333333</v>
      </c>
      <c r="I24" s="21" t="n">
        <f aca="false">I6/Assumptions!C8</f>
        <v>6.8</v>
      </c>
    </row>
    <row r="25" customFormat="false" ht="15" hidden="false" customHeight="true" outlineLevel="0" collapsed="false">
      <c r="B25" s="20" t="s">
        <v>9</v>
      </c>
      <c r="C25" s="21" t="n">
        <f aca="false">C7/Assumptions!D8</f>
        <v>0.648</v>
      </c>
      <c r="D25" s="21" t="n">
        <f aca="false">D7/Assumptions!D8</f>
        <v>0.768</v>
      </c>
      <c r="E25" s="21" t="n">
        <f aca="false">E7/Assumptions!D8</f>
        <v>1.008</v>
      </c>
      <c r="F25" s="21" t="n">
        <f aca="false">F7/Assumptions!D8</f>
        <v>1.316</v>
      </c>
      <c r="G25" s="21" t="n">
        <f aca="false">G7/Assumptions!D8</f>
        <v>2.024</v>
      </c>
      <c r="H25" s="21" t="n">
        <f aca="false">H7/Assumptions!D8</f>
        <v>2.216</v>
      </c>
      <c r="I25" s="21" t="n">
        <f aca="false">I7/Assumptions!D8</f>
        <v>2.63</v>
      </c>
    </row>
    <row r="26" customFormat="false" ht="15" hidden="false" customHeight="true" outlineLevel="0" collapsed="false">
      <c r="B26" s="20" t="s">
        <v>10</v>
      </c>
      <c r="C26" s="21" t="n">
        <f aca="false">C8/Assumptions!E8</f>
        <v>0.495</v>
      </c>
      <c r="D26" s="21" t="n">
        <f aca="false">D8/Assumptions!E8</f>
        <v>0.61275</v>
      </c>
      <c r="E26" s="21" t="n">
        <f aca="false">E8/Assumptions!E8</f>
        <v>0.84275</v>
      </c>
      <c r="F26" s="21" t="n">
        <f aca="false">F8/Assumptions!E8</f>
        <v>1.023</v>
      </c>
      <c r="G26" s="21" t="n">
        <f aca="false">G8/Assumptions!E8</f>
        <v>1.486</v>
      </c>
      <c r="H26" s="21" t="n">
        <f aca="false">H8/Assumptions!E8</f>
        <v>1.60475</v>
      </c>
      <c r="I26" s="21" t="n">
        <f aca="false">I8/Assumptions!E8</f>
        <v>1.84225</v>
      </c>
    </row>
    <row r="27" customFormat="false" ht="15" hidden="false" customHeight="true" outlineLevel="0" collapsed="false">
      <c r="B27" s="20" t="s">
        <v>11</v>
      </c>
      <c r="C27" s="21" t="n">
        <f aca="false">C9/Assumptions!F8</f>
        <v>0.3509</v>
      </c>
      <c r="D27" s="21" t="n">
        <f aca="false">D9/Assumptions!F8</f>
        <v>0.4641</v>
      </c>
      <c r="E27" s="21" t="n">
        <f aca="false">E9/Assumptions!F8</f>
        <v>0.6886</v>
      </c>
      <c r="F27" s="21" t="n">
        <f aca="false">F9/Assumptions!F8</f>
        <v>0.8145</v>
      </c>
      <c r="G27" s="21" t="n">
        <f aca="false">G9/Assumptions!F8</f>
        <v>1.13195</v>
      </c>
      <c r="H27" s="21" t="n">
        <f aca="false">H9/Assumptions!F8</f>
        <v>1.21845</v>
      </c>
      <c r="I27" s="21" t="n">
        <f aca="false">I9/Assumptions!F8</f>
        <v>1.36695</v>
      </c>
    </row>
    <row r="28" customFormat="false" ht="15" hidden="false" customHeight="true" outlineLevel="0" collapsed="false">
      <c r="B28" s="20" t="s">
        <v>12</v>
      </c>
      <c r="C28" s="21" t="n">
        <f aca="false">C10/Assumptions!G8</f>
        <v>0.28426</v>
      </c>
      <c r="D28" s="21" t="n">
        <f aca="false">D10/Assumptions!G8</f>
        <v>0.39477</v>
      </c>
      <c r="E28" s="21" t="n">
        <f aca="false">E10/Assumptions!G8</f>
        <v>0.61677</v>
      </c>
      <c r="F28" s="21" t="n">
        <f aca="false">F10/Assumptions!G8</f>
        <v>0.72275</v>
      </c>
      <c r="G28" s="21" t="n">
        <f aca="false">G10/Assumptions!G8</f>
        <v>0.97275</v>
      </c>
      <c r="H28" s="21" t="n">
        <f aca="false">H10/Assumptions!G8</f>
        <v>1.04125</v>
      </c>
      <c r="I28" s="21" t="n">
        <f aca="false">I10/Assumptions!G8</f>
        <v>1.17525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9" min="3" style="1" width="14"/>
  </cols>
  <sheetData>
    <row r="2" customFormat="false" ht="17.25" hidden="false" customHeight="true" outlineLevel="0" collapsed="false">
      <c r="B2" s="2" t="s">
        <v>67</v>
      </c>
    </row>
    <row r="3" customFormat="false" ht="15" hidden="false" customHeight="true" outlineLevel="0" collapsed="false">
      <c r="B3" s="3" t="s">
        <v>68</v>
      </c>
    </row>
    <row r="5" customFormat="false" ht="15" hidden="false" customHeight="true" outlineLevel="0" collapsed="false">
      <c r="B5" s="22" t="s">
        <v>69</v>
      </c>
      <c r="C5" s="23" t="s">
        <v>48</v>
      </c>
      <c r="D5" s="23" t="s">
        <v>50</v>
      </c>
      <c r="E5" s="23" t="s">
        <v>52</v>
      </c>
      <c r="F5" s="23" t="s">
        <v>54</v>
      </c>
      <c r="G5" s="23" t="s">
        <v>56</v>
      </c>
      <c r="H5" s="23" t="s">
        <v>58</v>
      </c>
      <c r="I5" s="23" t="s">
        <v>60</v>
      </c>
    </row>
    <row r="6" customFormat="false" ht="15" hidden="false" customHeight="true" outlineLevel="0" collapsed="false">
      <c r="B6" s="5" t="s">
        <v>8</v>
      </c>
      <c r="C6" s="6" t="n">
        <f aca="false">Assumptions!C9*Assumptions!$C$16*0</f>
        <v>0</v>
      </c>
      <c r="D6" s="6" t="n">
        <f aca="false">Assumptions!C9*Assumptions!$C$16*0</f>
        <v>0</v>
      </c>
      <c r="E6" s="6" t="n">
        <f aca="false">Assumptions!C9*Assumptions!$C$16*1</f>
        <v>500</v>
      </c>
      <c r="F6" s="6" t="n">
        <f aca="false">Assumptions!C9*Assumptions!$C$16*1</f>
        <v>500</v>
      </c>
      <c r="G6" s="6" t="n">
        <f aca="false">Assumptions!C9*Assumptions!$C$16*1</f>
        <v>500</v>
      </c>
      <c r="H6" s="6" t="n">
        <f aca="false">Assumptions!C9*Assumptions!$C$16*1</f>
        <v>500</v>
      </c>
      <c r="I6" s="6" t="n">
        <f aca="false">Assumptions!C9*Assumptions!$C$16*1</f>
        <v>500</v>
      </c>
    </row>
    <row r="7" customFormat="false" ht="15" hidden="false" customHeight="true" outlineLevel="0" collapsed="false">
      <c r="B7" s="5" t="s">
        <v>9</v>
      </c>
      <c r="C7" s="6" t="n">
        <f aca="false">Assumptions!D9*Assumptions!$C$16*0</f>
        <v>0</v>
      </c>
      <c r="D7" s="6" t="n">
        <f aca="false">Assumptions!D9*Assumptions!$C$16*0</f>
        <v>0</v>
      </c>
      <c r="E7" s="6" t="n">
        <f aca="false">Assumptions!D9*Assumptions!$C$16*1</f>
        <v>8000</v>
      </c>
      <c r="F7" s="6" t="n">
        <f aca="false">Assumptions!D9*Assumptions!$C$16*1</f>
        <v>8000</v>
      </c>
      <c r="G7" s="6" t="n">
        <f aca="false">Assumptions!D9*Assumptions!$C$16*1</f>
        <v>8000</v>
      </c>
      <c r="H7" s="6" t="n">
        <f aca="false">Assumptions!D9*Assumptions!$C$16*1</f>
        <v>8000</v>
      </c>
      <c r="I7" s="6" t="n">
        <f aca="false">Assumptions!D9*Assumptions!$C$16*1</f>
        <v>8000</v>
      </c>
    </row>
    <row r="8" customFormat="false" ht="15" hidden="false" customHeight="true" outlineLevel="0" collapsed="false">
      <c r="B8" s="5" t="s">
        <v>10</v>
      </c>
      <c r="C8" s="6" t="n">
        <f aca="false">Assumptions!E9*Assumptions!$C$16*0</f>
        <v>0</v>
      </c>
      <c r="D8" s="6" t="n">
        <f aca="false">Assumptions!E9*Assumptions!$C$16*0</f>
        <v>0</v>
      </c>
      <c r="E8" s="6" t="n">
        <f aca="false">Assumptions!E9*Assumptions!$C$16*1</f>
        <v>60000</v>
      </c>
      <c r="F8" s="6" t="n">
        <f aca="false">Assumptions!E9*Assumptions!$C$16*1</f>
        <v>60000</v>
      </c>
      <c r="G8" s="6" t="n">
        <f aca="false">Assumptions!E9*Assumptions!$C$16*1</f>
        <v>60000</v>
      </c>
      <c r="H8" s="6" t="n">
        <f aca="false">Assumptions!E9*Assumptions!$C$16*1</f>
        <v>60000</v>
      </c>
      <c r="I8" s="6" t="n">
        <f aca="false">Assumptions!E9*Assumptions!$C$16*1</f>
        <v>60000</v>
      </c>
    </row>
    <row r="9" customFormat="false" ht="15" hidden="false" customHeight="true" outlineLevel="0" collapsed="false">
      <c r="B9" s="5" t="s">
        <v>11</v>
      </c>
      <c r="C9" s="6" t="n">
        <f aca="false">Assumptions!F9*Assumptions!$C$16*0</f>
        <v>0</v>
      </c>
      <c r="D9" s="6" t="n">
        <f aca="false">Assumptions!F9*Assumptions!$C$16*0</f>
        <v>0</v>
      </c>
      <c r="E9" s="6" t="n">
        <f aca="false">Assumptions!F9*Assumptions!$C$16*1</f>
        <v>300000</v>
      </c>
      <c r="F9" s="6" t="n">
        <f aca="false">Assumptions!F9*Assumptions!$C$16*1</f>
        <v>300000</v>
      </c>
      <c r="G9" s="6" t="n">
        <f aca="false">Assumptions!F9*Assumptions!$C$16*1</f>
        <v>300000</v>
      </c>
      <c r="H9" s="6" t="n">
        <f aca="false">Assumptions!F9*Assumptions!$C$16*1</f>
        <v>300000</v>
      </c>
      <c r="I9" s="6" t="n">
        <f aca="false">Assumptions!F9*Assumptions!$C$16*1</f>
        <v>300000</v>
      </c>
    </row>
    <row r="10" customFormat="false" ht="15" hidden="false" customHeight="true" outlineLevel="0" collapsed="false">
      <c r="B10" s="5" t="s">
        <v>12</v>
      </c>
      <c r="C10" s="6" t="n">
        <f aca="false">Assumptions!G9*Assumptions!$C$16*0</f>
        <v>0</v>
      </c>
      <c r="D10" s="6" t="n">
        <f aca="false">Assumptions!G9*Assumptions!$C$16*0</f>
        <v>0</v>
      </c>
      <c r="E10" s="6" t="n">
        <f aca="false">Assumptions!G9*Assumptions!$C$16*1</f>
        <v>1400000</v>
      </c>
      <c r="F10" s="6" t="n">
        <f aca="false">Assumptions!G9*Assumptions!$C$16*1</f>
        <v>1400000</v>
      </c>
      <c r="G10" s="6" t="n">
        <f aca="false">Assumptions!G9*Assumptions!$C$16*1</f>
        <v>1400000</v>
      </c>
      <c r="H10" s="6" t="n">
        <f aca="false">Assumptions!G9*Assumptions!$C$16*1</f>
        <v>1400000</v>
      </c>
      <c r="I10" s="6" t="n">
        <f aca="false">Assumptions!G9*Assumptions!$C$16*1</f>
        <v>1400000</v>
      </c>
    </row>
    <row r="12" customFormat="false" ht="27.75" hidden="false" customHeight="true" outlineLevel="0" collapsed="false">
      <c r="B12" s="22" t="s">
        <v>70</v>
      </c>
      <c r="C12" s="23" t="s">
        <v>48</v>
      </c>
      <c r="D12" s="23" t="s">
        <v>50</v>
      </c>
      <c r="E12" s="23" t="s">
        <v>52</v>
      </c>
      <c r="F12" s="23" t="s">
        <v>54</v>
      </c>
      <c r="G12" s="23" t="s">
        <v>56</v>
      </c>
      <c r="H12" s="23" t="s">
        <v>58</v>
      </c>
      <c r="I12" s="23" t="s">
        <v>60</v>
      </c>
    </row>
    <row r="13" customFormat="false" ht="15" hidden="false" customHeight="true" outlineLevel="0" collapsed="false">
      <c r="B13" s="5" t="s">
        <v>8</v>
      </c>
      <c r="C13" s="6" t="n">
        <f aca="false">Assumptions!C10*Assumptions!C11*Assumptions!$C$17*0</f>
        <v>0</v>
      </c>
      <c r="D13" s="6" t="n">
        <f aca="false">Assumptions!C10*Assumptions!C11*Assumptions!$C$17*0</f>
        <v>0</v>
      </c>
      <c r="E13" s="6" t="n">
        <f aca="false">Assumptions!C10*Assumptions!C11*Assumptions!$C$17*0</f>
        <v>0</v>
      </c>
      <c r="F13" s="6" t="n">
        <f aca="false">Assumptions!C10*Assumptions!C11*Assumptions!$C$17*1</f>
        <v>1200</v>
      </c>
      <c r="G13" s="6" t="n">
        <f aca="false">Assumptions!C10*Assumptions!C11*Assumptions!$C$17*1</f>
        <v>1200</v>
      </c>
      <c r="H13" s="6" t="n">
        <f aca="false">Assumptions!C10*Assumptions!C11*Assumptions!$C$17*1</f>
        <v>1200</v>
      </c>
      <c r="I13" s="6" t="n">
        <f aca="false">Assumptions!C10*Assumptions!C11*Assumptions!$C$17*1</f>
        <v>1200</v>
      </c>
    </row>
    <row r="14" customFormat="false" ht="15" hidden="false" customHeight="true" outlineLevel="0" collapsed="false">
      <c r="B14" s="5" t="s">
        <v>9</v>
      </c>
      <c r="C14" s="6" t="n">
        <f aca="false">Assumptions!D10*Assumptions!D11*Assumptions!$C$17*0</f>
        <v>0</v>
      </c>
      <c r="D14" s="6" t="n">
        <f aca="false">Assumptions!D10*Assumptions!D11*Assumptions!$C$17*0</f>
        <v>0</v>
      </c>
      <c r="E14" s="6" t="n">
        <f aca="false">Assumptions!D10*Assumptions!D11*Assumptions!$C$17*0</f>
        <v>0</v>
      </c>
      <c r="F14" s="6" t="n">
        <f aca="false">Assumptions!D10*Assumptions!D11*Assumptions!$C$17*1</f>
        <v>24000</v>
      </c>
      <c r="G14" s="6" t="n">
        <f aca="false">Assumptions!D10*Assumptions!D11*Assumptions!$C$17*1</f>
        <v>24000</v>
      </c>
      <c r="H14" s="6" t="n">
        <f aca="false">Assumptions!D10*Assumptions!D11*Assumptions!$C$17*1</f>
        <v>24000</v>
      </c>
      <c r="I14" s="6" t="n">
        <f aca="false">Assumptions!D10*Assumptions!D11*Assumptions!$C$17*1</f>
        <v>24000</v>
      </c>
    </row>
    <row r="15" customFormat="false" ht="15" hidden="false" customHeight="true" outlineLevel="0" collapsed="false">
      <c r="B15" s="5" t="s">
        <v>10</v>
      </c>
      <c r="C15" s="6" t="n">
        <f aca="false">Assumptions!E10*Assumptions!E11*Assumptions!$C$17*0</f>
        <v>0</v>
      </c>
      <c r="D15" s="6" t="n">
        <f aca="false">Assumptions!E10*Assumptions!E11*Assumptions!$C$17*0</f>
        <v>0</v>
      </c>
      <c r="E15" s="6" t="n">
        <f aca="false">Assumptions!E10*Assumptions!E11*Assumptions!$C$17*0</f>
        <v>0</v>
      </c>
      <c r="F15" s="6" t="n">
        <f aca="false">Assumptions!E10*Assumptions!E11*Assumptions!$C$17*1</f>
        <v>240000</v>
      </c>
      <c r="G15" s="6" t="n">
        <f aca="false">Assumptions!E10*Assumptions!E11*Assumptions!$C$17*1</f>
        <v>240000</v>
      </c>
      <c r="H15" s="6" t="n">
        <f aca="false">Assumptions!E10*Assumptions!E11*Assumptions!$C$17*1</f>
        <v>240000</v>
      </c>
      <c r="I15" s="6" t="n">
        <f aca="false">Assumptions!E10*Assumptions!E11*Assumptions!$C$17*1</f>
        <v>240000</v>
      </c>
    </row>
    <row r="16" customFormat="false" ht="15" hidden="false" customHeight="true" outlineLevel="0" collapsed="false">
      <c r="B16" s="5" t="s">
        <v>11</v>
      </c>
      <c r="C16" s="6" t="n">
        <f aca="false">Assumptions!F10*Assumptions!F11*Assumptions!$C$17*0</f>
        <v>0</v>
      </c>
      <c r="D16" s="6" t="n">
        <f aca="false">Assumptions!F10*Assumptions!F11*Assumptions!$C$17*0</f>
        <v>0</v>
      </c>
      <c r="E16" s="6" t="n">
        <f aca="false">Assumptions!F10*Assumptions!F11*Assumptions!$C$17*0</f>
        <v>0</v>
      </c>
      <c r="F16" s="6" t="n">
        <f aca="false">Assumptions!F10*Assumptions!F11*Assumptions!$C$17*1</f>
        <v>1200000</v>
      </c>
      <c r="G16" s="6" t="n">
        <f aca="false">Assumptions!F10*Assumptions!F11*Assumptions!$C$17*1</f>
        <v>1200000</v>
      </c>
      <c r="H16" s="6" t="n">
        <f aca="false">Assumptions!F10*Assumptions!F11*Assumptions!$C$17*1</f>
        <v>1200000</v>
      </c>
      <c r="I16" s="6" t="n">
        <f aca="false">Assumptions!F10*Assumptions!F11*Assumptions!$C$17*1</f>
        <v>1200000</v>
      </c>
    </row>
    <row r="17" customFormat="false" ht="15" hidden="false" customHeight="true" outlineLevel="0" collapsed="false">
      <c r="B17" s="5" t="s">
        <v>12</v>
      </c>
      <c r="C17" s="6" t="n">
        <f aca="false">Assumptions!G10*Assumptions!G11*Assumptions!$C$17*0</f>
        <v>0</v>
      </c>
      <c r="D17" s="6" t="n">
        <f aca="false">Assumptions!G10*Assumptions!G11*Assumptions!$C$17*0</f>
        <v>0</v>
      </c>
      <c r="E17" s="6" t="n">
        <f aca="false">Assumptions!G10*Assumptions!G11*Assumptions!$C$17*0</f>
        <v>0</v>
      </c>
      <c r="F17" s="6" t="n">
        <f aca="false">Assumptions!G10*Assumptions!G11*Assumptions!$C$17*1</f>
        <v>6000000</v>
      </c>
      <c r="G17" s="6" t="n">
        <f aca="false">Assumptions!G10*Assumptions!G11*Assumptions!$C$17*1</f>
        <v>6000000</v>
      </c>
      <c r="H17" s="6" t="n">
        <f aca="false">Assumptions!G10*Assumptions!G11*Assumptions!$C$17*1</f>
        <v>6000000</v>
      </c>
      <c r="I17" s="6" t="n">
        <f aca="false">Assumptions!G10*Assumptions!G11*Assumptions!$C$17*1</f>
        <v>6000000</v>
      </c>
    </row>
    <row r="19" customFormat="false" ht="15" hidden="false" customHeight="true" outlineLevel="0" collapsed="false">
      <c r="B19" s="22" t="s">
        <v>71</v>
      </c>
      <c r="C19" s="23" t="s">
        <v>48</v>
      </c>
      <c r="D19" s="23" t="s">
        <v>50</v>
      </c>
      <c r="E19" s="23" t="s">
        <v>52</v>
      </c>
      <c r="F19" s="23" t="s">
        <v>54</v>
      </c>
      <c r="G19" s="23" t="s">
        <v>56</v>
      </c>
      <c r="H19" s="23" t="s">
        <v>58</v>
      </c>
      <c r="I19" s="23" t="s">
        <v>60</v>
      </c>
    </row>
    <row r="20" customFormat="false" ht="15" hidden="false" customHeight="true" outlineLevel="0" collapsed="false">
      <c r="B20" s="5" t="s">
        <v>8</v>
      </c>
      <c r="C20" s="6" t="n">
        <f aca="false">Assumptions!C12*Assumptions!$C$18*0</f>
        <v>0</v>
      </c>
      <c r="D20" s="6" t="n">
        <f aca="false">Assumptions!C12*Assumptions!$C$18*1</f>
        <v>250</v>
      </c>
      <c r="E20" s="6" t="n">
        <f aca="false">Assumptions!C12*Assumptions!$C$18*1</f>
        <v>250</v>
      </c>
      <c r="F20" s="6" t="n">
        <f aca="false">Assumptions!C12*Assumptions!$C$18*1</f>
        <v>250</v>
      </c>
      <c r="G20" s="6" t="n">
        <f aca="false">Assumptions!C12*Assumptions!$C$18*1</f>
        <v>250</v>
      </c>
      <c r="H20" s="6" t="n">
        <f aca="false">Assumptions!C12*Assumptions!$C$18*1</f>
        <v>250</v>
      </c>
      <c r="I20" s="6" t="n">
        <f aca="false">Assumptions!C12*Assumptions!$C$18*1</f>
        <v>250</v>
      </c>
    </row>
    <row r="21" customFormat="false" ht="15" hidden="false" customHeight="true" outlineLevel="0" collapsed="false">
      <c r="B21" s="5" t="s">
        <v>9</v>
      </c>
      <c r="C21" s="6" t="n">
        <f aca="false">Assumptions!D12*Assumptions!$C$18*0</f>
        <v>0</v>
      </c>
      <c r="D21" s="6" t="n">
        <f aca="false">Assumptions!D12*Assumptions!$C$18*1</f>
        <v>5000</v>
      </c>
      <c r="E21" s="6" t="n">
        <f aca="false">Assumptions!D12*Assumptions!$C$18*1</f>
        <v>5000</v>
      </c>
      <c r="F21" s="6" t="n">
        <f aca="false">Assumptions!D12*Assumptions!$C$18*1</f>
        <v>5000</v>
      </c>
      <c r="G21" s="6" t="n">
        <f aca="false">Assumptions!D12*Assumptions!$C$18*1</f>
        <v>5000</v>
      </c>
      <c r="H21" s="6" t="n">
        <f aca="false">Assumptions!D12*Assumptions!$C$18*1</f>
        <v>5000</v>
      </c>
      <c r="I21" s="6" t="n">
        <f aca="false">Assumptions!D12*Assumptions!$C$18*1</f>
        <v>5000</v>
      </c>
    </row>
    <row r="22" customFormat="false" ht="15" hidden="false" customHeight="true" outlineLevel="0" collapsed="false">
      <c r="B22" s="5" t="s">
        <v>10</v>
      </c>
      <c r="C22" s="6" t="n">
        <f aca="false">Assumptions!E12*Assumptions!$C$18*0</f>
        <v>0</v>
      </c>
      <c r="D22" s="6" t="n">
        <f aca="false">Assumptions!E12*Assumptions!$C$18*1</f>
        <v>50000</v>
      </c>
      <c r="E22" s="6" t="n">
        <f aca="false">Assumptions!E12*Assumptions!$C$18*1</f>
        <v>50000</v>
      </c>
      <c r="F22" s="6" t="n">
        <f aca="false">Assumptions!E12*Assumptions!$C$18*1</f>
        <v>50000</v>
      </c>
      <c r="G22" s="6" t="n">
        <f aca="false">Assumptions!E12*Assumptions!$C$18*1</f>
        <v>50000</v>
      </c>
      <c r="H22" s="6" t="n">
        <f aca="false">Assumptions!E12*Assumptions!$C$18*1</f>
        <v>50000</v>
      </c>
      <c r="I22" s="6" t="n">
        <f aca="false">Assumptions!E12*Assumptions!$C$18*1</f>
        <v>50000</v>
      </c>
    </row>
    <row r="23" customFormat="false" ht="15" hidden="false" customHeight="true" outlineLevel="0" collapsed="false">
      <c r="B23" s="5" t="s">
        <v>11</v>
      </c>
      <c r="C23" s="6" t="n">
        <f aca="false">Assumptions!F12*Assumptions!$C$18*0</f>
        <v>0</v>
      </c>
      <c r="D23" s="6" t="n">
        <f aca="false">Assumptions!F12*Assumptions!$C$18*1</f>
        <v>250000</v>
      </c>
      <c r="E23" s="6" t="n">
        <f aca="false">Assumptions!F12*Assumptions!$C$18*1</f>
        <v>250000</v>
      </c>
      <c r="F23" s="6" t="n">
        <f aca="false">Assumptions!F12*Assumptions!$C$18*1</f>
        <v>250000</v>
      </c>
      <c r="G23" s="6" t="n">
        <f aca="false">Assumptions!F12*Assumptions!$C$18*1</f>
        <v>250000</v>
      </c>
      <c r="H23" s="6" t="n">
        <f aca="false">Assumptions!F12*Assumptions!$C$18*1</f>
        <v>250000</v>
      </c>
      <c r="I23" s="6" t="n">
        <f aca="false">Assumptions!F12*Assumptions!$C$18*1</f>
        <v>250000</v>
      </c>
    </row>
    <row r="24" customFormat="false" ht="15" hidden="false" customHeight="true" outlineLevel="0" collapsed="false">
      <c r="B24" s="5" t="s">
        <v>12</v>
      </c>
      <c r="C24" s="6" t="n">
        <f aca="false">Assumptions!G12*Assumptions!$C$18*0</f>
        <v>0</v>
      </c>
      <c r="D24" s="6" t="n">
        <f aca="false">Assumptions!G12*Assumptions!$C$18*1</f>
        <v>1250000</v>
      </c>
      <c r="E24" s="6" t="n">
        <f aca="false">Assumptions!G12*Assumptions!$C$18*1</f>
        <v>1250000</v>
      </c>
      <c r="F24" s="6" t="n">
        <f aca="false">Assumptions!G12*Assumptions!$C$18*1</f>
        <v>1250000</v>
      </c>
      <c r="G24" s="6" t="n">
        <f aca="false">Assumptions!G12*Assumptions!$C$18*1</f>
        <v>1250000</v>
      </c>
      <c r="H24" s="6" t="n">
        <f aca="false">Assumptions!G12*Assumptions!$C$18*1</f>
        <v>1250000</v>
      </c>
      <c r="I24" s="6" t="n">
        <f aca="false">Assumptions!G12*Assumptions!$C$18*1</f>
        <v>1250000</v>
      </c>
    </row>
    <row r="26" customFormat="false" ht="27.75" hidden="false" customHeight="true" outlineLevel="0" collapsed="false">
      <c r="B26" s="24" t="s">
        <v>72</v>
      </c>
      <c r="C26" s="4" t="s">
        <v>48</v>
      </c>
      <c r="D26" s="4" t="s">
        <v>50</v>
      </c>
      <c r="E26" s="4" t="s">
        <v>52</v>
      </c>
      <c r="F26" s="4" t="s">
        <v>54</v>
      </c>
      <c r="G26" s="4" t="s">
        <v>56</v>
      </c>
      <c r="H26" s="4" t="s">
        <v>58</v>
      </c>
      <c r="I26" s="4" t="s">
        <v>60</v>
      </c>
    </row>
    <row r="27" customFormat="false" ht="15" hidden="false" customHeight="true" outlineLevel="0" collapsed="false">
      <c r="B27" s="25" t="s">
        <v>8</v>
      </c>
      <c r="C27" s="26" t="n">
        <f aca="false">C6+C13+C20</f>
        <v>0</v>
      </c>
      <c r="D27" s="26" t="n">
        <f aca="false">D6+D13+D20</f>
        <v>250</v>
      </c>
      <c r="E27" s="26" t="n">
        <f aca="false">E6+E13+E20</f>
        <v>750</v>
      </c>
      <c r="F27" s="26" t="n">
        <f aca="false">F6+F13+F20</f>
        <v>1950</v>
      </c>
      <c r="G27" s="26" t="n">
        <f aca="false">G6+G13+G20</f>
        <v>1950</v>
      </c>
      <c r="H27" s="26" t="n">
        <f aca="false">H6+H13+H20</f>
        <v>1950</v>
      </c>
      <c r="I27" s="26" t="n">
        <f aca="false">I6+I13+I20</f>
        <v>1950</v>
      </c>
    </row>
    <row r="28" customFormat="false" ht="15" hidden="false" customHeight="true" outlineLevel="0" collapsed="false">
      <c r="B28" s="25" t="s">
        <v>9</v>
      </c>
      <c r="C28" s="26" t="n">
        <f aca="false">C7+C14+C21</f>
        <v>0</v>
      </c>
      <c r="D28" s="26" t="n">
        <f aca="false">D7+D14+D21</f>
        <v>5000</v>
      </c>
      <c r="E28" s="26" t="n">
        <f aca="false">E7+E14+E21</f>
        <v>13000</v>
      </c>
      <c r="F28" s="26" t="n">
        <f aca="false">F7+F14+F21</f>
        <v>37000</v>
      </c>
      <c r="G28" s="26" t="n">
        <f aca="false">G7+G14+G21</f>
        <v>37000</v>
      </c>
      <c r="H28" s="26" t="n">
        <f aca="false">H7+H14+H21</f>
        <v>37000</v>
      </c>
      <c r="I28" s="26" t="n">
        <f aca="false">I7+I14+I21</f>
        <v>37000</v>
      </c>
    </row>
    <row r="29" customFormat="false" ht="15" hidden="false" customHeight="true" outlineLevel="0" collapsed="false">
      <c r="B29" s="25" t="s">
        <v>10</v>
      </c>
      <c r="C29" s="26" t="n">
        <f aca="false">C8+C15+C22</f>
        <v>0</v>
      </c>
      <c r="D29" s="26" t="n">
        <f aca="false">D8+D15+D22</f>
        <v>50000</v>
      </c>
      <c r="E29" s="26" t="n">
        <f aca="false">E8+E15+E22</f>
        <v>110000</v>
      </c>
      <c r="F29" s="26" t="n">
        <f aca="false">F8+F15+F22</f>
        <v>350000</v>
      </c>
      <c r="G29" s="26" t="n">
        <f aca="false">G8+G15+G22</f>
        <v>350000</v>
      </c>
      <c r="H29" s="26" t="n">
        <f aca="false">H8+H15+H22</f>
        <v>350000</v>
      </c>
      <c r="I29" s="26" t="n">
        <f aca="false">I8+I15+I22</f>
        <v>350000</v>
      </c>
    </row>
    <row r="30" customFormat="false" ht="15" hidden="false" customHeight="true" outlineLevel="0" collapsed="false">
      <c r="B30" s="25" t="s">
        <v>11</v>
      </c>
      <c r="C30" s="26" t="n">
        <f aca="false">C9+C16+C23</f>
        <v>0</v>
      </c>
      <c r="D30" s="26" t="n">
        <f aca="false">D9+D16+D23</f>
        <v>250000</v>
      </c>
      <c r="E30" s="26" t="n">
        <f aca="false">E9+E16+E23</f>
        <v>550000</v>
      </c>
      <c r="F30" s="26" t="n">
        <f aca="false">F9+F16+F23</f>
        <v>1750000</v>
      </c>
      <c r="G30" s="26" t="n">
        <f aca="false">G9+G16+G23</f>
        <v>1750000</v>
      </c>
      <c r="H30" s="26" t="n">
        <f aca="false">H9+H16+H23</f>
        <v>1750000</v>
      </c>
      <c r="I30" s="26" t="n">
        <f aca="false">I9+I16+I23</f>
        <v>1750000</v>
      </c>
    </row>
    <row r="31" customFormat="false" ht="15" hidden="false" customHeight="true" outlineLevel="0" collapsed="false">
      <c r="B31" s="25" t="s">
        <v>12</v>
      </c>
      <c r="C31" s="26" t="n">
        <f aca="false">C10+C17+C24</f>
        <v>0</v>
      </c>
      <c r="D31" s="26" t="n">
        <f aca="false">D10+D17+D24</f>
        <v>1250000</v>
      </c>
      <c r="E31" s="26" t="n">
        <f aca="false">E10+E17+E24</f>
        <v>2650000</v>
      </c>
      <c r="F31" s="26" t="n">
        <f aca="false">F10+F17+F24</f>
        <v>8650000</v>
      </c>
      <c r="G31" s="26" t="n">
        <f aca="false">G10+G17+G24</f>
        <v>8650000</v>
      </c>
      <c r="H31" s="26" t="n">
        <f aca="false">H10+H17+H24</f>
        <v>8650000</v>
      </c>
      <c r="I31" s="26" t="n">
        <f aca="false">I10+I17+I24</f>
        <v>8650000</v>
      </c>
    </row>
    <row r="33" customFormat="false" ht="27.75" hidden="false" customHeight="true" outlineLevel="0" collapsed="false">
      <c r="B33" s="24" t="s">
        <v>73</v>
      </c>
      <c r="C33" s="4" t="s">
        <v>48</v>
      </c>
      <c r="D33" s="4" t="s">
        <v>50</v>
      </c>
      <c r="E33" s="4" t="s">
        <v>52</v>
      </c>
      <c r="F33" s="4" t="s">
        <v>54</v>
      </c>
      <c r="G33" s="4" t="s">
        <v>56</v>
      </c>
      <c r="H33" s="4" t="s">
        <v>58</v>
      </c>
      <c r="I33" s="4" t="s">
        <v>60</v>
      </c>
    </row>
    <row r="34" customFormat="false" ht="15" hidden="false" customHeight="true" outlineLevel="0" collapsed="false">
      <c r="B34" s="5" t="s">
        <v>8</v>
      </c>
      <c r="C34" s="6" t="n">
        <f aca="false">C27*12</f>
        <v>0</v>
      </c>
      <c r="D34" s="6" t="n">
        <f aca="false">D27*12</f>
        <v>3000</v>
      </c>
      <c r="E34" s="6" t="n">
        <f aca="false">E27*12</f>
        <v>9000</v>
      </c>
      <c r="F34" s="6" t="n">
        <f aca="false">F27*12</f>
        <v>23400</v>
      </c>
      <c r="G34" s="6" t="n">
        <f aca="false">G27*12</f>
        <v>23400</v>
      </c>
      <c r="H34" s="6" t="n">
        <f aca="false">H27*12</f>
        <v>23400</v>
      </c>
      <c r="I34" s="6" t="n">
        <f aca="false">I27*12</f>
        <v>23400</v>
      </c>
    </row>
    <row r="35" customFormat="false" ht="15" hidden="false" customHeight="true" outlineLevel="0" collapsed="false">
      <c r="B35" s="5" t="s">
        <v>9</v>
      </c>
      <c r="C35" s="6" t="n">
        <f aca="false">C28*12</f>
        <v>0</v>
      </c>
      <c r="D35" s="6" t="n">
        <f aca="false">D28*12</f>
        <v>60000</v>
      </c>
      <c r="E35" s="6" t="n">
        <f aca="false">E28*12</f>
        <v>156000</v>
      </c>
      <c r="F35" s="6" t="n">
        <f aca="false">F28*12</f>
        <v>444000</v>
      </c>
      <c r="G35" s="6" t="n">
        <f aca="false">G28*12</f>
        <v>444000</v>
      </c>
      <c r="H35" s="6" t="n">
        <f aca="false">H28*12</f>
        <v>444000</v>
      </c>
      <c r="I35" s="6" t="n">
        <f aca="false">I28*12</f>
        <v>444000</v>
      </c>
    </row>
    <row r="36" customFormat="false" ht="15" hidden="false" customHeight="true" outlineLevel="0" collapsed="false">
      <c r="B36" s="5" t="s">
        <v>10</v>
      </c>
      <c r="C36" s="6" t="n">
        <f aca="false">C29*12</f>
        <v>0</v>
      </c>
      <c r="D36" s="6" t="n">
        <f aca="false">D29*12</f>
        <v>600000</v>
      </c>
      <c r="E36" s="6" t="n">
        <f aca="false">E29*12</f>
        <v>1320000</v>
      </c>
      <c r="F36" s="6" t="n">
        <f aca="false">F29*12</f>
        <v>4200000</v>
      </c>
      <c r="G36" s="6" t="n">
        <f aca="false">G29*12</f>
        <v>4200000</v>
      </c>
      <c r="H36" s="6" t="n">
        <f aca="false">H29*12</f>
        <v>4200000</v>
      </c>
      <c r="I36" s="6" t="n">
        <f aca="false">I29*12</f>
        <v>4200000</v>
      </c>
    </row>
    <row r="37" customFormat="false" ht="15" hidden="false" customHeight="true" outlineLevel="0" collapsed="false">
      <c r="B37" s="5" t="s">
        <v>11</v>
      </c>
      <c r="C37" s="6" t="n">
        <f aca="false">C30*12</f>
        <v>0</v>
      </c>
      <c r="D37" s="6" t="n">
        <f aca="false">D30*12</f>
        <v>3000000</v>
      </c>
      <c r="E37" s="6" t="n">
        <f aca="false">E30*12</f>
        <v>6600000</v>
      </c>
      <c r="F37" s="6" t="n">
        <f aca="false">F30*12</f>
        <v>21000000</v>
      </c>
      <c r="G37" s="6" t="n">
        <f aca="false">G30*12</f>
        <v>21000000</v>
      </c>
      <c r="H37" s="6" t="n">
        <f aca="false">H30*12</f>
        <v>21000000</v>
      </c>
      <c r="I37" s="6" t="n">
        <f aca="false">I30*12</f>
        <v>21000000</v>
      </c>
    </row>
    <row r="38" customFormat="false" ht="15" hidden="false" customHeight="true" outlineLevel="0" collapsed="false">
      <c r="B38" s="5" t="s">
        <v>12</v>
      </c>
      <c r="C38" s="6" t="n">
        <f aca="false">C31*12</f>
        <v>0</v>
      </c>
      <c r="D38" s="6" t="n">
        <f aca="false">D31*12</f>
        <v>15000000</v>
      </c>
      <c r="E38" s="6" t="n">
        <f aca="false">E31*12</f>
        <v>31800000</v>
      </c>
      <c r="F38" s="6" t="n">
        <f aca="false">F31*12</f>
        <v>103800000</v>
      </c>
      <c r="G38" s="6" t="n">
        <f aca="false">G31*12</f>
        <v>103800000</v>
      </c>
      <c r="H38" s="6" t="n">
        <f aca="false">H31*12</f>
        <v>103800000</v>
      </c>
      <c r="I38" s="6" t="n">
        <f aca="false">I31*12</f>
        <v>103800000</v>
      </c>
    </row>
    <row r="40" customFormat="false" ht="15" hidden="false" customHeight="true" outlineLevel="0" collapsed="false">
      <c r="B40" s="9" t="s">
        <v>74</v>
      </c>
      <c r="C40" s="27" t="s">
        <v>75</v>
      </c>
      <c r="D40" s="27"/>
      <c r="E40" s="27"/>
      <c r="F40" s="27"/>
      <c r="G40" s="27"/>
      <c r="H40" s="27"/>
      <c r="I40" s="27"/>
    </row>
  </sheetData>
  <mergeCells count="1">
    <mergeCell ref="C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9" min="3" style="1" width="14"/>
  </cols>
  <sheetData>
    <row r="2" customFormat="false" ht="17.25" hidden="false" customHeight="true" outlineLevel="0" collapsed="false">
      <c r="B2" s="2" t="s">
        <v>76</v>
      </c>
    </row>
    <row r="3" customFormat="false" ht="15" hidden="false" customHeight="true" outlineLevel="0" collapsed="false">
      <c r="B3" s="3" t="s">
        <v>77</v>
      </c>
    </row>
    <row r="5" customFormat="false" ht="15" hidden="false" customHeight="true" outlineLevel="0" collapsed="false">
      <c r="B5" s="24" t="s">
        <v>78</v>
      </c>
      <c r="C5" s="4" t="s">
        <v>48</v>
      </c>
      <c r="D5" s="4" t="s">
        <v>50</v>
      </c>
      <c r="E5" s="4" t="s">
        <v>52</v>
      </c>
      <c r="F5" s="4" t="s">
        <v>54</v>
      </c>
      <c r="G5" s="4" t="s">
        <v>56</v>
      </c>
      <c r="H5" s="4" t="s">
        <v>58</v>
      </c>
      <c r="I5" s="4" t="s">
        <v>60</v>
      </c>
    </row>
    <row r="6" customFormat="false" ht="15" hidden="false" customHeight="true" outlineLevel="0" collapsed="false">
      <c r="B6" s="5" t="s">
        <v>8</v>
      </c>
      <c r="C6" s="7" t="n">
        <f aca="false">Revenue!C27-Costing!C6</f>
        <v>-30</v>
      </c>
      <c r="D6" s="7" t="n">
        <f aca="false">Revenue!D27-Costing!D6</f>
        <v>215</v>
      </c>
      <c r="E6" s="7" t="n">
        <f aca="false">Revenue!E27-Costing!E6</f>
        <v>707</v>
      </c>
      <c r="F6" s="7" t="n">
        <f aca="false">Revenue!F27-Costing!F6</f>
        <v>1877</v>
      </c>
      <c r="G6" s="7" t="n">
        <f aca="false">Revenue!G27-Costing!G6</f>
        <v>1787</v>
      </c>
      <c r="H6" s="7" t="n">
        <f aca="false">Revenue!H27-Costing!H6</f>
        <v>1778</v>
      </c>
      <c r="I6" s="7" t="n">
        <f aca="false">Revenue!I27-Costing!I6</f>
        <v>1746</v>
      </c>
    </row>
    <row r="7" customFormat="false" ht="15" hidden="false" customHeight="true" outlineLevel="0" collapsed="false">
      <c r="B7" s="5" t="s">
        <v>9</v>
      </c>
      <c r="C7" s="7" t="n">
        <f aca="false">Revenue!C28-Costing!C7</f>
        <v>-324</v>
      </c>
      <c r="D7" s="7" t="n">
        <f aca="false">Revenue!D28-Costing!D7</f>
        <v>4616</v>
      </c>
      <c r="E7" s="7" t="n">
        <f aca="false">Revenue!E28-Costing!E7</f>
        <v>12496</v>
      </c>
      <c r="F7" s="7" t="n">
        <f aca="false">Revenue!F28-Costing!F7</f>
        <v>36342</v>
      </c>
      <c r="G7" s="7" t="n">
        <f aca="false">Revenue!G28-Costing!G7</f>
        <v>35988</v>
      </c>
      <c r="H7" s="7" t="n">
        <f aca="false">Revenue!H28-Costing!H7</f>
        <v>35892</v>
      </c>
      <c r="I7" s="7" t="n">
        <f aca="false">Revenue!I28-Costing!I7</f>
        <v>35685</v>
      </c>
    </row>
    <row r="8" customFormat="false" ht="15" hidden="false" customHeight="true" outlineLevel="0" collapsed="false">
      <c r="B8" s="5" t="s">
        <v>10</v>
      </c>
      <c r="C8" s="7" t="n">
        <f aca="false">Revenue!C29-Costing!C8</f>
        <v>-1980</v>
      </c>
      <c r="D8" s="7" t="n">
        <f aca="false">Revenue!D29-Costing!D8</f>
        <v>47549</v>
      </c>
      <c r="E8" s="7" t="n">
        <f aca="false">Revenue!E29-Costing!E8</f>
        <v>106629</v>
      </c>
      <c r="F8" s="7" t="n">
        <f aca="false">Revenue!F29-Costing!F8</f>
        <v>345908</v>
      </c>
      <c r="G8" s="7" t="n">
        <f aca="false">Revenue!G29-Costing!G8</f>
        <v>344056</v>
      </c>
      <c r="H8" s="7" t="n">
        <f aca="false">Revenue!H29-Costing!H8</f>
        <v>343581</v>
      </c>
      <c r="I8" s="7" t="n">
        <f aca="false">Revenue!I29-Costing!I8</f>
        <v>342631</v>
      </c>
    </row>
    <row r="9" customFormat="false" ht="15" hidden="false" customHeight="true" outlineLevel="0" collapsed="false">
      <c r="B9" s="5" t="s">
        <v>11</v>
      </c>
      <c r="C9" s="7" t="n">
        <f aca="false">Revenue!C30-Costing!C9</f>
        <v>-7018</v>
      </c>
      <c r="D9" s="7" t="n">
        <f aca="false">Revenue!D30-Costing!D9</f>
        <v>240718</v>
      </c>
      <c r="E9" s="7" t="n">
        <f aca="false">Revenue!E30-Costing!E9</f>
        <v>536228</v>
      </c>
      <c r="F9" s="7" t="n">
        <f aca="false">Revenue!F30-Costing!F9</f>
        <v>1733710</v>
      </c>
      <c r="G9" s="7" t="n">
        <f aca="false">Revenue!G30-Costing!G9</f>
        <v>1727361</v>
      </c>
      <c r="H9" s="7" t="n">
        <f aca="false">Revenue!H30-Costing!H9</f>
        <v>1725631</v>
      </c>
      <c r="I9" s="7" t="n">
        <f aca="false">Revenue!I30-Costing!I9</f>
        <v>1722661</v>
      </c>
    </row>
    <row r="10" customFormat="false" ht="15" hidden="false" customHeight="true" outlineLevel="0" collapsed="false">
      <c r="B10" s="5" t="s">
        <v>12</v>
      </c>
      <c r="C10" s="7" t="n">
        <f aca="false">Revenue!C31-Costing!C10</f>
        <v>-28426</v>
      </c>
      <c r="D10" s="7" t="n">
        <f aca="false">Revenue!D31-Costing!D10</f>
        <v>1210523</v>
      </c>
      <c r="E10" s="7" t="n">
        <f aca="false">Revenue!E31-Costing!E10</f>
        <v>2588323</v>
      </c>
      <c r="F10" s="7" t="n">
        <f aca="false">Revenue!F31-Costing!F10</f>
        <v>8577725</v>
      </c>
      <c r="G10" s="7" t="n">
        <f aca="false">Revenue!G31-Costing!G10</f>
        <v>8552725</v>
      </c>
      <c r="H10" s="7" t="n">
        <f aca="false">Revenue!H31-Costing!H10</f>
        <v>8545875</v>
      </c>
      <c r="I10" s="7" t="n">
        <f aca="false">Revenue!I31-Costing!I10</f>
        <v>8532475</v>
      </c>
    </row>
    <row r="12" customFormat="false" ht="27.75" hidden="false" customHeight="true" outlineLevel="0" collapsed="false">
      <c r="B12" s="24" t="s">
        <v>79</v>
      </c>
      <c r="C12" s="4" t="s">
        <v>48</v>
      </c>
      <c r="D12" s="4" t="s">
        <v>50</v>
      </c>
      <c r="E12" s="4" t="s">
        <v>52</v>
      </c>
      <c r="F12" s="4" t="s">
        <v>54</v>
      </c>
      <c r="G12" s="4" t="s">
        <v>56</v>
      </c>
      <c r="H12" s="4" t="s">
        <v>58</v>
      </c>
      <c r="I12" s="4" t="s">
        <v>60</v>
      </c>
    </row>
    <row r="13" customFormat="false" ht="15" hidden="false" customHeight="true" outlineLevel="0" collapsed="false">
      <c r="B13" s="5" t="s">
        <v>8</v>
      </c>
      <c r="C13" s="8" t="str">
        <f aca="false">IFERROR((Revenue!C27-Costing!C6)/Revenue!C27,"")</f>
        <v/>
      </c>
      <c r="D13" s="8" t="n">
        <f aca="false">IFERROR((Revenue!D27-Costing!D6)/Revenue!D27,"")</f>
        <v>0.86</v>
      </c>
      <c r="E13" s="8" t="n">
        <f aca="false">IFERROR((Revenue!E27-Costing!E6)/Revenue!E27,"")</f>
        <v>0.942666666666667</v>
      </c>
      <c r="F13" s="8" t="n">
        <f aca="false">IFERROR((Revenue!F27-Costing!F6)/Revenue!F27,"")</f>
        <v>0.962564102564103</v>
      </c>
      <c r="G13" s="8" t="n">
        <f aca="false">IFERROR((Revenue!G27-Costing!G6)/Revenue!G27,"")</f>
        <v>0.916410256410256</v>
      </c>
      <c r="H13" s="8" t="n">
        <f aca="false">IFERROR((Revenue!H27-Costing!H6)/Revenue!H27,"")</f>
        <v>0.911794871794872</v>
      </c>
      <c r="I13" s="8" t="n">
        <f aca="false">IFERROR((Revenue!I27-Costing!I6)/Revenue!I27,"")</f>
        <v>0.895384615384615</v>
      </c>
    </row>
    <row r="14" customFormat="false" ht="15" hidden="false" customHeight="true" outlineLevel="0" collapsed="false">
      <c r="B14" s="5" t="s">
        <v>9</v>
      </c>
      <c r="C14" s="8" t="str">
        <f aca="false">IFERROR((Revenue!C28-Costing!C7)/Revenue!C28,"")</f>
        <v/>
      </c>
      <c r="D14" s="8" t="n">
        <f aca="false">IFERROR((Revenue!D28-Costing!D7)/Revenue!D28,"")</f>
        <v>0.9232</v>
      </c>
      <c r="E14" s="8" t="n">
        <f aca="false">IFERROR((Revenue!E28-Costing!E7)/Revenue!E28,"")</f>
        <v>0.961230769230769</v>
      </c>
      <c r="F14" s="8" t="n">
        <f aca="false">IFERROR((Revenue!F28-Costing!F7)/Revenue!F28,"")</f>
        <v>0.982216216216216</v>
      </c>
      <c r="G14" s="8" t="n">
        <f aca="false">IFERROR((Revenue!G28-Costing!G7)/Revenue!G28,"")</f>
        <v>0.972648648648649</v>
      </c>
      <c r="H14" s="8" t="n">
        <f aca="false">IFERROR((Revenue!H28-Costing!H7)/Revenue!H28,"")</f>
        <v>0.970054054054054</v>
      </c>
      <c r="I14" s="8" t="n">
        <f aca="false">IFERROR((Revenue!I28-Costing!I7)/Revenue!I28,"")</f>
        <v>0.964459459459459</v>
      </c>
    </row>
    <row r="15" customFormat="false" ht="15" hidden="false" customHeight="true" outlineLevel="0" collapsed="false">
      <c r="B15" s="5" t="s">
        <v>10</v>
      </c>
      <c r="C15" s="8" t="str">
        <f aca="false">IFERROR((Revenue!C29-Costing!C8)/Revenue!C29,"")</f>
        <v/>
      </c>
      <c r="D15" s="8" t="n">
        <f aca="false">IFERROR((Revenue!D29-Costing!D8)/Revenue!D29,"")</f>
        <v>0.95098</v>
      </c>
      <c r="E15" s="8" t="n">
        <f aca="false">IFERROR((Revenue!E29-Costing!E8)/Revenue!E29,"")</f>
        <v>0.969354545454546</v>
      </c>
      <c r="F15" s="8" t="n">
        <f aca="false">IFERROR((Revenue!F29-Costing!F8)/Revenue!F29,"")</f>
        <v>0.988308571428571</v>
      </c>
      <c r="G15" s="8" t="n">
        <f aca="false">IFERROR((Revenue!G29-Costing!G8)/Revenue!G29,"")</f>
        <v>0.983017142857143</v>
      </c>
      <c r="H15" s="8" t="n">
        <f aca="false">IFERROR((Revenue!H29-Costing!H8)/Revenue!H29,"")</f>
        <v>0.98166</v>
      </c>
      <c r="I15" s="8" t="n">
        <f aca="false">IFERROR((Revenue!I29-Costing!I8)/Revenue!I29,"")</f>
        <v>0.978945714285714</v>
      </c>
    </row>
    <row r="16" customFormat="false" ht="15" hidden="false" customHeight="true" outlineLevel="0" collapsed="false">
      <c r="B16" s="5" t="s">
        <v>11</v>
      </c>
      <c r="C16" s="8" t="str">
        <f aca="false">IFERROR((Revenue!C30-Costing!C9)/Revenue!C30,"")</f>
        <v/>
      </c>
      <c r="D16" s="8" t="n">
        <f aca="false">IFERROR((Revenue!D30-Costing!D9)/Revenue!D30,"")</f>
        <v>0.962872</v>
      </c>
      <c r="E16" s="8" t="n">
        <f aca="false">IFERROR((Revenue!E30-Costing!E9)/Revenue!E30,"")</f>
        <v>0.97496</v>
      </c>
      <c r="F16" s="8" t="n">
        <f aca="false">IFERROR((Revenue!F30-Costing!F9)/Revenue!F30,"")</f>
        <v>0.990691428571429</v>
      </c>
      <c r="G16" s="8" t="n">
        <f aca="false">IFERROR((Revenue!G30-Costing!G9)/Revenue!G30,"")</f>
        <v>0.987063428571429</v>
      </c>
      <c r="H16" s="8" t="n">
        <f aca="false">IFERROR((Revenue!H30-Costing!H9)/Revenue!H30,"")</f>
        <v>0.986074857142857</v>
      </c>
      <c r="I16" s="8" t="n">
        <f aca="false">IFERROR((Revenue!I30-Costing!I9)/Revenue!I30,"")</f>
        <v>0.984377714285714</v>
      </c>
    </row>
    <row r="17" customFormat="false" ht="15" hidden="false" customHeight="true" outlineLevel="0" collapsed="false">
      <c r="B17" s="5" t="s">
        <v>12</v>
      </c>
      <c r="C17" s="8" t="str">
        <f aca="false">IFERROR((Revenue!C31-Costing!C10)/Revenue!C31,"")</f>
        <v/>
      </c>
      <c r="D17" s="8" t="n">
        <f aca="false">IFERROR((Revenue!D31-Costing!D10)/Revenue!D31,"")</f>
        <v>0.9684184</v>
      </c>
      <c r="E17" s="8" t="n">
        <f aca="false">IFERROR((Revenue!E31-Costing!E10)/Revenue!E31,"")</f>
        <v>0.976725660377359</v>
      </c>
      <c r="F17" s="8" t="n">
        <f aca="false">IFERROR((Revenue!F31-Costing!F10)/Revenue!F31,"")</f>
        <v>0.99164450867052</v>
      </c>
      <c r="G17" s="8" t="n">
        <f aca="false">IFERROR((Revenue!G31-Costing!G10)/Revenue!G31,"")</f>
        <v>0.988754335260116</v>
      </c>
      <c r="H17" s="8" t="n">
        <f aca="false">IFERROR((Revenue!H31-Costing!H10)/Revenue!H31,"")</f>
        <v>0.987962427745665</v>
      </c>
      <c r="I17" s="8" t="n">
        <f aca="false">IFERROR((Revenue!I31-Costing!I10)/Revenue!I31,"")</f>
        <v>0.986413294797688</v>
      </c>
    </row>
    <row r="19" customFormat="false" ht="15" hidden="false" customHeight="true" outlineLevel="0" collapsed="false">
      <c r="B19" s="24" t="s">
        <v>80</v>
      </c>
      <c r="C19" s="4" t="s">
        <v>48</v>
      </c>
      <c r="D19" s="4" t="s">
        <v>50</v>
      </c>
      <c r="E19" s="4" t="s">
        <v>52</v>
      </c>
      <c r="F19" s="4" t="s">
        <v>54</v>
      </c>
      <c r="G19" s="4" t="s">
        <v>56</v>
      </c>
      <c r="H19" s="4" t="s">
        <v>58</v>
      </c>
      <c r="I19" s="4" t="s">
        <v>60</v>
      </c>
    </row>
    <row r="20" customFormat="false" ht="15" hidden="false" customHeight="true" outlineLevel="0" collapsed="false">
      <c r="B20" s="5" t="s">
        <v>8</v>
      </c>
      <c r="C20" s="7" t="n">
        <f aca="false">C6*12</f>
        <v>-360</v>
      </c>
      <c r="D20" s="7" t="n">
        <f aca="false">D6*12</f>
        <v>2580</v>
      </c>
      <c r="E20" s="7" t="n">
        <f aca="false">E6*12</f>
        <v>8484</v>
      </c>
      <c r="F20" s="7" t="n">
        <f aca="false">F6*12</f>
        <v>22524</v>
      </c>
      <c r="G20" s="7" t="n">
        <f aca="false">G6*12</f>
        <v>21444</v>
      </c>
      <c r="H20" s="7" t="n">
        <f aca="false">H6*12</f>
        <v>21336</v>
      </c>
      <c r="I20" s="7" t="n">
        <f aca="false">I6*12</f>
        <v>20952</v>
      </c>
    </row>
    <row r="21" customFormat="false" ht="15" hidden="false" customHeight="true" outlineLevel="0" collapsed="false">
      <c r="B21" s="5" t="s">
        <v>9</v>
      </c>
      <c r="C21" s="7" t="n">
        <f aca="false">C7*12</f>
        <v>-3888</v>
      </c>
      <c r="D21" s="7" t="n">
        <f aca="false">D7*12</f>
        <v>55392</v>
      </c>
      <c r="E21" s="7" t="n">
        <f aca="false">E7*12</f>
        <v>149952</v>
      </c>
      <c r="F21" s="7" t="n">
        <f aca="false">F7*12</f>
        <v>436104</v>
      </c>
      <c r="G21" s="7" t="n">
        <f aca="false">G7*12</f>
        <v>431856</v>
      </c>
      <c r="H21" s="7" t="n">
        <f aca="false">H7*12</f>
        <v>430704</v>
      </c>
      <c r="I21" s="7" t="n">
        <f aca="false">I7*12</f>
        <v>428220</v>
      </c>
    </row>
    <row r="22" customFormat="false" ht="15" hidden="false" customHeight="true" outlineLevel="0" collapsed="false">
      <c r="B22" s="5" t="s">
        <v>10</v>
      </c>
      <c r="C22" s="7" t="n">
        <f aca="false">C8*12</f>
        <v>-23760</v>
      </c>
      <c r="D22" s="7" t="n">
        <f aca="false">D8*12</f>
        <v>570588</v>
      </c>
      <c r="E22" s="7" t="n">
        <f aca="false">E8*12</f>
        <v>1279548</v>
      </c>
      <c r="F22" s="7" t="n">
        <f aca="false">F8*12</f>
        <v>4150896</v>
      </c>
      <c r="G22" s="7" t="n">
        <f aca="false">G8*12</f>
        <v>4128672</v>
      </c>
      <c r="H22" s="7" t="n">
        <f aca="false">H8*12</f>
        <v>4122972</v>
      </c>
      <c r="I22" s="7" t="n">
        <f aca="false">I8*12</f>
        <v>4111572</v>
      </c>
    </row>
    <row r="23" customFormat="false" ht="15" hidden="false" customHeight="true" outlineLevel="0" collapsed="false">
      <c r="B23" s="5" t="s">
        <v>11</v>
      </c>
      <c r="C23" s="7" t="n">
        <f aca="false">C9*12</f>
        <v>-84216</v>
      </c>
      <c r="D23" s="7" t="n">
        <f aca="false">D9*12</f>
        <v>2888616</v>
      </c>
      <c r="E23" s="7" t="n">
        <f aca="false">E9*12</f>
        <v>6434736</v>
      </c>
      <c r="F23" s="7" t="n">
        <f aca="false">F9*12</f>
        <v>20804520</v>
      </c>
      <c r="G23" s="7" t="n">
        <f aca="false">G9*12</f>
        <v>20728332</v>
      </c>
      <c r="H23" s="7" t="n">
        <f aca="false">H9*12</f>
        <v>20707572</v>
      </c>
      <c r="I23" s="7" t="n">
        <f aca="false">I9*12</f>
        <v>20671932</v>
      </c>
    </row>
    <row r="24" customFormat="false" ht="15" hidden="false" customHeight="true" outlineLevel="0" collapsed="false">
      <c r="B24" s="5" t="s">
        <v>12</v>
      </c>
      <c r="C24" s="7" t="n">
        <f aca="false">C10*12</f>
        <v>-341112</v>
      </c>
      <c r="D24" s="7" t="n">
        <f aca="false">D10*12</f>
        <v>14526276</v>
      </c>
      <c r="E24" s="7" t="n">
        <f aca="false">E10*12</f>
        <v>31059876</v>
      </c>
      <c r="F24" s="7" t="n">
        <f aca="false">F10*12</f>
        <v>102932700</v>
      </c>
      <c r="G24" s="7" t="n">
        <f aca="false">G10*12</f>
        <v>102632700</v>
      </c>
      <c r="H24" s="7" t="n">
        <f aca="false">H10*12</f>
        <v>102550500</v>
      </c>
      <c r="I24" s="7" t="n">
        <f aca="false">I10*12</f>
        <v>102389700</v>
      </c>
    </row>
  </sheetData>
  <conditionalFormatting sqref="C6:I10">
    <cfRule type="cellIs" priority="2" operator="greaterThanOr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C20:I24">
    <cfRule type="cellIs" priority="4" operator="greaterThanOrEqual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28" t="s">
        <v>81</v>
      </c>
    </row>
    <row r="3" customFormat="false" ht="15" hidden="false" customHeight="false" outlineLevel="0" collapsed="false">
      <c r="B3" s="29" t="s">
        <v>82</v>
      </c>
    </row>
    <row r="5" customFormat="false" ht="41.75" hidden="false" customHeight="false" outlineLevel="0" collapsed="false">
      <c r="B5" s="22" t="s">
        <v>83</v>
      </c>
      <c r="C5" s="30"/>
      <c r="D5" s="30"/>
    </row>
    <row r="6" customFormat="false" ht="15" hidden="false" customHeight="false" outlineLevel="0" collapsed="false">
      <c r="B6" s="4" t="s">
        <v>84</v>
      </c>
      <c r="C6" s="4" t="s">
        <v>85</v>
      </c>
      <c r="D6" s="4" t="s">
        <v>86</v>
      </c>
    </row>
    <row r="7" customFormat="false" ht="15" hidden="false" customHeight="false" outlineLevel="0" collapsed="false">
      <c r="B7" s="31" t="s">
        <v>48</v>
      </c>
      <c r="C7" s="5" t="s">
        <v>87</v>
      </c>
      <c r="D7" s="5" t="s">
        <v>88</v>
      </c>
    </row>
    <row r="8" customFormat="false" ht="15" hidden="false" customHeight="false" outlineLevel="0" collapsed="false">
      <c r="B8" s="31" t="s">
        <v>50</v>
      </c>
      <c r="C8" s="5" t="s">
        <v>89</v>
      </c>
      <c r="D8" s="5" t="s">
        <v>90</v>
      </c>
    </row>
    <row r="9" customFormat="false" ht="15" hidden="false" customHeight="false" outlineLevel="0" collapsed="false">
      <c r="B9" s="31" t="s">
        <v>52</v>
      </c>
      <c r="C9" s="5" t="s">
        <v>91</v>
      </c>
      <c r="D9" s="5" t="s">
        <v>92</v>
      </c>
    </row>
    <row r="10" customFormat="false" ht="15" hidden="false" customHeight="false" outlineLevel="0" collapsed="false">
      <c r="B10" s="31" t="s">
        <v>54</v>
      </c>
      <c r="C10" s="5" t="s">
        <v>93</v>
      </c>
      <c r="D10" s="5" t="s">
        <v>94</v>
      </c>
    </row>
    <row r="11" customFormat="false" ht="23.85" hidden="false" customHeight="false" outlineLevel="0" collapsed="false">
      <c r="B11" s="31" t="s">
        <v>56</v>
      </c>
      <c r="C11" s="5" t="s">
        <v>95</v>
      </c>
      <c r="D11" s="5" t="s">
        <v>96</v>
      </c>
    </row>
    <row r="12" customFormat="false" ht="15" hidden="false" customHeight="false" outlineLevel="0" collapsed="false">
      <c r="B12" s="31" t="s">
        <v>58</v>
      </c>
      <c r="C12" s="5" t="s">
        <v>97</v>
      </c>
      <c r="D12" s="5" t="s">
        <v>98</v>
      </c>
    </row>
    <row r="13" customFormat="false" ht="15" hidden="false" customHeight="false" outlineLevel="0" collapsed="false">
      <c r="B13" s="31" t="s">
        <v>60</v>
      </c>
      <c r="C13" s="5" t="s">
        <v>99</v>
      </c>
      <c r="D13" s="5" t="s">
        <v>100</v>
      </c>
    </row>
    <row r="15" customFormat="false" ht="28.35" hidden="false" customHeight="false" outlineLevel="0" collapsed="false">
      <c r="B15" s="22" t="s">
        <v>101</v>
      </c>
      <c r="C15" s="30"/>
      <c r="D15" s="30"/>
    </row>
    <row r="16" customFormat="false" ht="15" hidden="false" customHeight="false" outlineLevel="0" collapsed="false">
      <c r="B16" s="4" t="s">
        <v>84</v>
      </c>
      <c r="C16" s="4" t="s">
        <v>85</v>
      </c>
      <c r="D16" s="4" t="s">
        <v>86</v>
      </c>
    </row>
    <row r="17" customFormat="false" ht="15" hidden="false" customHeight="false" outlineLevel="0" collapsed="false">
      <c r="B17" s="31" t="s">
        <v>29</v>
      </c>
      <c r="C17" s="5" t="s">
        <v>102</v>
      </c>
      <c r="D17" s="5" t="s">
        <v>103</v>
      </c>
    </row>
    <row r="18" customFormat="false" ht="15" hidden="false" customHeight="false" outlineLevel="0" collapsed="false">
      <c r="B18" s="31" t="s">
        <v>30</v>
      </c>
      <c r="C18" s="5" t="s">
        <v>104</v>
      </c>
      <c r="D18" s="5" t="s">
        <v>105</v>
      </c>
    </row>
    <row r="19" customFormat="false" ht="15" hidden="false" customHeight="false" outlineLevel="0" collapsed="false">
      <c r="B19" s="31" t="s">
        <v>31</v>
      </c>
      <c r="C19" s="5" t="s">
        <v>106</v>
      </c>
      <c r="D19" s="5" t="s">
        <v>107</v>
      </c>
    </row>
    <row r="20" customFormat="false" ht="15" hidden="false" customHeight="false" outlineLevel="0" collapsed="false">
      <c r="B20" s="31" t="s">
        <v>32</v>
      </c>
      <c r="C20" s="5" t="s">
        <v>108</v>
      </c>
      <c r="D20" s="5" t="s">
        <v>109</v>
      </c>
    </row>
    <row r="21" customFormat="false" ht="15" hidden="false" customHeight="false" outlineLevel="0" collapsed="false">
      <c r="B21" s="31" t="s">
        <v>33</v>
      </c>
      <c r="C21" s="5" t="s">
        <v>110</v>
      </c>
      <c r="D21" s="5" t="s">
        <v>111</v>
      </c>
    </row>
    <row r="23" customFormat="false" ht="15" hidden="false" customHeight="false" outlineLevel="0" collapsed="false">
      <c r="B23" s="22" t="s">
        <v>112</v>
      </c>
      <c r="C23" s="30"/>
      <c r="D23" s="30"/>
    </row>
    <row r="24" customFormat="false" ht="15" hidden="false" customHeight="false" outlineLevel="0" collapsed="false">
      <c r="B24" s="4" t="s">
        <v>84</v>
      </c>
      <c r="C24" s="4" t="s">
        <v>85</v>
      </c>
      <c r="D24" s="4" t="s">
        <v>86</v>
      </c>
    </row>
    <row r="25" customFormat="false" ht="15" hidden="false" customHeight="false" outlineLevel="0" collapsed="false">
      <c r="B25" s="31" t="s">
        <v>113</v>
      </c>
      <c r="C25" s="5" t="s">
        <v>114</v>
      </c>
      <c r="D25" s="5" t="s">
        <v>115</v>
      </c>
    </row>
    <row r="26" customFormat="false" ht="15" hidden="false" customHeight="false" outlineLevel="0" collapsed="false">
      <c r="B26" s="31" t="s">
        <v>116</v>
      </c>
      <c r="C26" s="5" t="s">
        <v>117</v>
      </c>
      <c r="D26" s="5" t="s">
        <v>118</v>
      </c>
    </row>
    <row r="27" customFormat="false" ht="23.85" hidden="false" customHeight="false" outlineLevel="0" collapsed="false">
      <c r="B27" s="31" t="s">
        <v>119</v>
      </c>
      <c r="C27" s="5" t="s">
        <v>120</v>
      </c>
      <c r="D27" s="5" t="s">
        <v>121</v>
      </c>
    </row>
    <row r="28" customFormat="false" ht="15" hidden="false" customHeight="false" outlineLevel="0" collapsed="false">
      <c r="B28" s="31" t="s">
        <v>122</v>
      </c>
      <c r="C28" s="5" t="s">
        <v>123</v>
      </c>
      <c r="D28" s="5" t="s">
        <v>124</v>
      </c>
    </row>
    <row r="29" customFormat="false" ht="15" hidden="false" customHeight="false" outlineLevel="0" collapsed="false">
      <c r="B29" s="31" t="s">
        <v>125</v>
      </c>
      <c r="C29" s="5" t="s">
        <v>126</v>
      </c>
      <c r="D29" s="5" t="s">
        <v>127</v>
      </c>
    </row>
    <row r="30" customFormat="false" ht="15" hidden="false" customHeight="false" outlineLevel="0" collapsed="false">
      <c r="B30" s="31" t="s">
        <v>128</v>
      </c>
      <c r="C30" s="5" t="s">
        <v>129</v>
      </c>
      <c r="D30" s="5" t="s">
        <v>130</v>
      </c>
    </row>
    <row r="31" customFormat="false" ht="15" hidden="false" customHeight="false" outlineLevel="0" collapsed="false">
      <c r="B31" s="31" t="s">
        <v>131</v>
      </c>
      <c r="C31" s="5" t="s">
        <v>132</v>
      </c>
      <c r="D31" s="5" t="s">
        <v>133</v>
      </c>
    </row>
    <row r="32" customFormat="false" ht="15" hidden="false" customHeight="false" outlineLevel="0" collapsed="false">
      <c r="B32" s="31" t="s">
        <v>134</v>
      </c>
      <c r="C32" s="5" t="s">
        <v>135</v>
      </c>
      <c r="D32" s="5" t="s">
        <v>136</v>
      </c>
    </row>
    <row r="33" customFormat="false" ht="15" hidden="false" customHeight="false" outlineLevel="0" collapsed="false">
      <c r="B33" s="31" t="s">
        <v>137</v>
      </c>
      <c r="C33" s="5" t="s">
        <v>138</v>
      </c>
      <c r="D33" s="5" t="s">
        <v>139</v>
      </c>
    </row>
    <row r="34" customFormat="false" ht="15" hidden="false" customHeight="false" outlineLevel="0" collapsed="false">
      <c r="B34" s="31" t="s">
        <v>140</v>
      </c>
      <c r="C34" s="5" t="s">
        <v>141</v>
      </c>
      <c r="D34" s="5" t="s">
        <v>142</v>
      </c>
    </row>
    <row r="36" customFormat="false" ht="15" hidden="false" customHeight="false" outlineLevel="0" collapsed="false">
      <c r="B36" s="22" t="s">
        <v>143</v>
      </c>
      <c r="C36" s="30"/>
      <c r="D36" s="30"/>
    </row>
    <row r="37" customFormat="false" ht="15" hidden="false" customHeight="false" outlineLevel="0" collapsed="false">
      <c r="B37" s="4" t="s">
        <v>84</v>
      </c>
      <c r="C37" s="4" t="s">
        <v>85</v>
      </c>
      <c r="D37" s="4" t="s">
        <v>86</v>
      </c>
    </row>
    <row r="38" customFormat="false" ht="15" hidden="false" customHeight="false" outlineLevel="0" collapsed="false">
      <c r="B38" s="31" t="s">
        <v>144</v>
      </c>
      <c r="C38" s="5" t="s">
        <v>145</v>
      </c>
      <c r="D38" s="5" t="s">
        <v>146</v>
      </c>
    </row>
    <row r="39" customFormat="false" ht="15" hidden="false" customHeight="false" outlineLevel="0" collapsed="false">
      <c r="B39" s="31" t="s">
        <v>147</v>
      </c>
      <c r="C39" s="5" t="s">
        <v>148</v>
      </c>
      <c r="D39" s="5" t="s">
        <v>149</v>
      </c>
    </row>
    <row r="40" customFormat="false" ht="15" hidden="false" customHeight="false" outlineLevel="0" collapsed="false">
      <c r="B40" s="31" t="s">
        <v>150</v>
      </c>
      <c r="C40" s="5" t="s">
        <v>151</v>
      </c>
      <c r="D40" s="5" t="s">
        <v>152</v>
      </c>
    </row>
    <row r="41" customFormat="false" ht="15" hidden="false" customHeight="false" outlineLevel="0" collapsed="false">
      <c r="B41" s="31" t="s">
        <v>153</v>
      </c>
      <c r="C41" s="5" t="s">
        <v>153</v>
      </c>
      <c r="D41" s="5" t="s">
        <v>154</v>
      </c>
    </row>
    <row r="42" customFormat="false" ht="15" hidden="false" customHeight="false" outlineLevel="0" collapsed="false">
      <c r="B42" s="31" t="s">
        <v>155</v>
      </c>
      <c r="C42" s="5" t="s">
        <v>156</v>
      </c>
      <c r="D42" s="5" t="s">
        <v>157</v>
      </c>
    </row>
    <row r="43" customFormat="false" ht="23.85" hidden="false" customHeight="false" outlineLevel="0" collapsed="false">
      <c r="B43" s="31" t="s">
        <v>158</v>
      </c>
      <c r="C43" s="5" t="s">
        <v>159</v>
      </c>
      <c r="D43" s="5" t="s">
        <v>160</v>
      </c>
    </row>
    <row r="44" customFormat="false" ht="15" hidden="false" customHeight="false" outlineLevel="0" collapsed="false">
      <c r="B44" s="31" t="s">
        <v>161</v>
      </c>
      <c r="C44" s="5" t="s">
        <v>162</v>
      </c>
      <c r="D44" s="5" t="s">
        <v>163</v>
      </c>
    </row>
    <row r="45" customFormat="false" ht="15" hidden="false" customHeight="false" outlineLevel="0" collapsed="false">
      <c r="B45" s="31" t="s">
        <v>164</v>
      </c>
      <c r="C45" s="5" t="s">
        <v>165</v>
      </c>
      <c r="D45" s="5" t="s">
        <v>166</v>
      </c>
    </row>
    <row r="46" customFormat="false" ht="15" hidden="false" customHeight="false" outlineLevel="0" collapsed="false">
      <c r="B46" s="31" t="s">
        <v>167</v>
      </c>
      <c r="C46" s="5" t="s">
        <v>168</v>
      </c>
      <c r="D46" s="5" t="s">
        <v>169</v>
      </c>
    </row>
    <row r="47" customFormat="false" ht="15" hidden="false" customHeight="false" outlineLevel="0" collapsed="false">
      <c r="B47" s="31" t="s">
        <v>170</v>
      </c>
      <c r="C47" s="5" t="s">
        <v>171</v>
      </c>
      <c r="D47" s="5" t="s">
        <v>172</v>
      </c>
    </row>
    <row r="48" customFormat="false" ht="15" hidden="false" customHeight="false" outlineLevel="0" collapsed="false">
      <c r="B48" s="31" t="s">
        <v>173</v>
      </c>
      <c r="C48" s="5" t="s">
        <v>174</v>
      </c>
      <c r="D48" s="5" t="s">
        <v>175</v>
      </c>
    </row>
    <row r="49" customFormat="false" ht="15" hidden="false" customHeight="false" outlineLevel="0" collapsed="false">
      <c r="B49" s="31" t="s">
        <v>176</v>
      </c>
      <c r="C49" s="5" t="s">
        <v>177</v>
      </c>
      <c r="D49" s="5" t="s">
        <v>178</v>
      </c>
    </row>
    <row r="50" customFormat="false" ht="15" hidden="false" customHeight="false" outlineLevel="0" collapsed="false">
      <c r="B50" s="31" t="s">
        <v>179</v>
      </c>
      <c r="C50" s="5" t="s">
        <v>180</v>
      </c>
      <c r="D50" s="5" t="s">
        <v>181</v>
      </c>
    </row>
    <row r="51" customFormat="false" ht="15" hidden="false" customHeight="false" outlineLevel="0" collapsed="false">
      <c r="B51" s="31" t="s">
        <v>182</v>
      </c>
      <c r="C51" s="5" t="s">
        <v>183</v>
      </c>
      <c r="D51" s="5" t="s">
        <v>184</v>
      </c>
    </row>
    <row r="53" customFormat="false" ht="15" hidden="false" customHeight="false" outlineLevel="0" collapsed="false">
      <c r="B53" s="22" t="s">
        <v>185</v>
      </c>
      <c r="C53" s="30"/>
      <c r="D53" s="30"/>
    </row>
    <row r="54" customFormat="false" ht="15" hidden="false" customHeight="false" outlineLevel="0" collapsed="false">
      <c r="B54" s="4" t="s">
        <v>84</v>
      </c>
      <c r="C54" s="4" t="s">
        <v>85</v>
      </c>
      <c r="D54" s="4" t="s">
        <v>86</v>
      </c>
    </row>
    <row r="55" customFormat="false" ht="15" hidden="false" customHeight="false" outlineLevel="0" collapsed="false">
      <c r="B55" s="31" t="s">
        <v>186</v>
      </c>
      <c r="C55" s="5" t="s">
        <v>187</v>
      </c>
      <c r="D55" s="5" t="s">
        <v>188</v>
      </c>
    </row>
    <row r="56" customFormat="false" ht="15" hidden="false" customHeight="false" outlineLevel="0" collapsed="false">
      <c r="B56" s="31" t="s">
        <v>189</v>
      </c>
      <c r="C56" s="5" t="s">
        <v>190</v>
      </c>
      <c r="D56" s="5" t="s">
        <v>191</v>
      </c>
    </row>
    <row r="57" customFormat="false" ht="15" hidden="false" customHeight="false" outlineLevel="0" collapsed="false">
      <c r="B57" s="31" t="s">
        <v>192</v>
      </c>
      <c r="C57" s="5" t="s">
        <v>193</v>
      </c>
      <c r="D57" s="5" t="s">
        <v>194</v>
      </c>
    </row>
    <row r="58" customFormat="false" ht="15" hidden="false" customHeight="false" outlineLevel="0" collapsed="false">
      <c r="B58" s="31" t="s">
        <v>195</v>
      </c>
      <c r="C58" s="5" t="s">
        <v>196</v>
      </c>
      <c r="D58" s="5" t="s">
        <v>197</v>
      </c>
    </row>
    <row r="59" customFormat="false" ht="15" hidden="false" customHeight="false" outlineLevel="0" collapsed="false">
      <c r="B59" s="31" t="s">
        <v>198</v>
      </c>
      <c r="C59" s="5" t="s">
        <v>199</v>
      </c>
      <c r="D59" s="5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2026-06-03T14:09:10Z</dcterms:created>
  <dc:creator>openpyxl</dc:creator>
  <dc:description/>
  <dc:language>en-US</dc:language>
  <cp:lastModifiedBy/>
  <dcterms:modified xsi:type="dcterms:W3CDTF">2026-06-03T14:24:37Z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